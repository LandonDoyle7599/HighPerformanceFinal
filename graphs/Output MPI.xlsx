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312910d6933b16/Documents/"/>
    </mc:Choice>
  </mc:AlternateContent>
  <xr:revisionPtr revIDLastSave="669" documentId="8_{549DC298-0D93-42D6-B32C-EB6F99A7D96E}" xr6:coauthVersionLast="47" xr6:coauthVersionMax="47" xr10:uidLastSave="{475EB5DA-6FC3-4FB6-83AA-3B65CC89FBDB}"/>
  <bookViews>
    <workbookView xWindow="-108" yWindow="-108" windowWidth="23256" windowHeight="12576" xr2:uid="{1C35E8C1-1793-4200-BE4F-D7420B67A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I19" i="1" s="1"/>
  <c r="J19" i="1"/>
  <c r="M19" i="1"/>
  <c r="N19" i="1"/>
  <c r="Q19" i="1"/>
  <c r="R19" i="1"/>
  <c r="U19" i="1"/>
  <c r="V19" i="1"/>
  <c r="Y19" i="1" s="1"/>
  <c r="Z19" i="1"/>
  <c r="AC19" i="1"/>
  <c r="AD19" i="1"/>
  <c r="AG19" i="1" s="1"/>
  <c r="AH19" i="1"/>
  <c r="AK19" i="1"/>
  <c r="F20" i="1"/>
  <c r="I20" i="1"/>
  <c r="J20" i="1"/>
  <c r="M20" i="1"/>
  <c r="N20" i="1"/>
  <c r="Q20" i="1"/>
  <c r="R20" i="1"/>
  <c r="U20" i="1"/>
  <c r="V20" i="1"/>
  <c r="Y20" i="1" s="1"/>
  <c r="Z20" i="1"/>
  <c r="AC20" i="1"/>
  <c r="AD20" i="1"/>
  <c r="AG20" i="1"/>
  <c r="AH20" i="1"/>
  <c r="AK20" i="1"/>
  <c r="F21" i="1"/>
  <c r="I21" i="1"/>
  <c r="J21" i="1"/>
  <c r="M21" i="1"/>
  <c r="N21" i="1"/>
  <c r="Q21" i="1" s="1"/>
  <c r="R21" i="1"/>
  <c r="U21" i="1"/>
  <c r="V21" i="1"/>
  <c r="Y21" i="1"/>
  <c r="Z21" i="1"/>
  <c r="AC21" i="1"/>
  <c r="AD21" i="1"/>
  <c r="AG21" i="1"/>
  <c r="AH21" i="1"/>
  <c r="AK21" i="1"/>
  <c r="E21" i="1"/>
  <c r="E20" i="1"/>
  <c r="E19" i="1"/>
  <c r="F30" i="1"/>
  <c r="I30" i="1" s="1"/>
  <c r="J30" i="1"/>
  <c r="M30" i="1"/>
  <c r="N30" i="1"/>
  <c r="Q30" i="1" s="1"/>
  <c r="R30" i="1"/>
  <c r="U30" i="1"/>
  <c r="V30" i="1"/>
  <c r="Y30" i="1"/>
  <c r="Z30" i="1"/>
  <c r="AC30" i="1"/>
  <c r="AD30" i="1"/>
  <c r="AG30" i="1"/>
  <c r="AH30" i="1"/>
  <c r="AK30" i="1"/>
  <c r="F31" i="1"/>
  <c r="I31" i="1" s="1"/>
  <c r="J31" i="1"/>
  <c r="M31" i="1"/>
  <c r="N31" i="1"/>
  <c r="Q31" i="1"/>
  <c r="R31" i="1"/>
  <c r="U31" i="1"/>
  <c r="V31" i="1"/>
  <c r="Y31" i="1"/>
  <c r="Z31" i="1"/>
  <c r="AC31" i="1"/>
  <c r="AD31" i="1"/>
  <c r="AG31" i="1" s="1"/>
  <c r="AH31" i="1"/>
  <c r="AK31" i="1"/>
  <c r="F32" i="1"/>
  <c r="I32" i="1"/>
  <c r="J32" i="1"/>
  <c r="M32" i="1"/>
  <c r="N32" i="1"/>
  <c r="Q32" i="1"/>
  <c r="R32" i="1"/>
  <c r="U32" i="1"/>
  <c r="V32" i="1"/>
  <c r="Y32" i="1" s="1"/>
  <c r="Z32" i="1"/>
  <c r="AC32" i="1"/>
  <c r="AD32" i="1"/>
  <c r="AG32" i="1"/>
  <c r="AH32" i="1"/>
  <c r="AK32" i="1"/>
  <c r="E30" i="1"/>
  <c r="E32" i="1"/>
  <c r="E31" i="1"/>
  <c r="B32" i="1"/>
  <c r="B31" i="1"/>
  <c r="B30" i="1"/>
  <c r="B21" i="1"/>
  <c r="AG43" i="1"/>
  <c r="AC43" i="1"/>
  <c r="AD7" i="1" s="1"/>
  <c r="AG7" i="1" s="1"/>
  <c r="Y43" i="1"/>
  <c r="Z7" i="1" s="1"/>
  <c r="AC7" i="1" s="1"/>
  <c r="U43" i="1"/>
  <c r="Q43" i="1"/>
  <c r="R8" i="1" s="1"/>
  <c r="U8" i="1" s="1"/>
  <c r="M43" i="1"/>
  <c r="N8" i="1" s="1"/>
  <c r="Q8" i="1" s="1"/>
  <c r="I43" i="1"/>
  <c r="J9" i="1" s="1"/>
  <c r="M9" i="1" s="1"/>
  <c r="E43" i="1"/>
  <c r="F7" i="1" s="1"/>
  <c r="I7" i="1" s="1"/>
  <c r="A43" i="1"/>
  <c r="B19" i="1" s="1"/>
  <c r="AH8" i="1"/>
  <c r="AK8" i="1" s="1"/>
  <c r="R9" i="1"/>
  <c r="U9" i="1" s="1"/>
  <c r="V9" i="1"/>
  <c r="Y9" i="1" s="1"/>
  <c r="Z9" i="1"/>
  <c r="AC9" i="1" s="1"/>
  <c r="AD8" i="1" l="1"/>
  <c r="AG8" i="1" s="1"/>
  <c r="B20" i="1"/>
  <c r="V8" i="1"/>
  <c r="Y8" i="1" s="1"/>
  <c r="F8" i="1"/>
  <c r="I8" i="1" s="1"/>
  <c r="V7" i="1"/>
  <c r="Y7" i="1" s="1"/>
  <c r="N9" i="1"/>
  <c r="Q9" i="1" s="1"/>
  <c r="R7" i="1"/>
  <c r="U7" i="1" s="1"/>
  <c r="Z8" i="1"/>
  <c r="AC8" i="1" s="1"/>
  <c r="AH9" i="1"/>
  <c r="AK9" i="1" s="1"/>
  <c r="AH7" i="1"/>
  <c r="AK7" i="1" s="1"/>
  <c r="AD9" i="1"/>
  <c r="AG9" i="1" s="1"/>
  <c r="F9" i="1"/>
  <c r="I9" i="1" s="1"/>
  <c r="N7" i="1"/>
  <c r="Q7" i="1" s="1"/>
  <c r="J7" i="1"/>
  <c r="M7" i="1" s="1"/>
  <c r="J8" i="1"/>
  <c r="M8" i="1" s="1"/>
  <c r="B8" i="1" l="1"/>
  <c r="E8" i="1" s="1"/>
  <c r="B9" i="1"/>
  <c r="E9" i="1" s="1"/>
  <c r="B7" i="1"/>
  <c r="E7" i="1" s="1"/>
</calcChain>
</file>

<file path=xl/sharedStrings.xml><?xml version="1.0" encoding="utf-8"?>
<sst xmlns="http://schemas.openxmlformats.org/spreadsheetml/2006/main" count="153" uniqueCount="19">
  <si>
    <t>Dist CPU</t>
  </si>
  <si>
    <t>k2 e25</t>
  </si>
  <si>
    <t>k2 e50</t>
  </si>
  <si>
    <t>k4 e25</t>
  </si>
  <si>
    <t>k4 e50</t>
  </si>
  <si>
    <t>k4 e100</t>
  </si>
  <si>
    <t>k6 e25</t>
  </si>
  <si>
    <t>k6 e50</t>
  </si>
  <si>
    <t>k6 e100</t>
  </si>
  <si>
    <t>NP6</t>
  </si>
  <si>
    <t>n_2_18</t>
  </si>
  <si>
    <t>n_2_19</t>
  </si>
  <si>
    <t>n_2_20</t>
  </si>
  <si>
    <t>k2 e100</t>
  </si>
  <si>
    <t>NP4</t>
  </si>
  <si>
    <t>NP8</t>
  </si>
  <si>
    <t>Serial</t>
  </si>
  <si>
    <t>Speedup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</si>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</sst>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Distribute CPU K2 E 25</a:t>
            </a:r>
            <a:r>
              <a:rPr lang="en-US" baseline="0"/>
              <a:t> </a:t>
            </a:r>
            <a:r>
              <a:rPr lang="en-US"/>
              <a:t>NP</a:t>
            </a:r>
            <a:r>
              <a:rPr lang="en-US" baseline="0"/>
              <a:t> 8 Speed 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Sheet1!$B$30:$B$32</c:f>
              <c:numCache>
                <c:formatCode>General</c:formatCode>
                <c:ptCount val="3"/>
                <c:pt idx="0">
                  <c:v>4.295452687234274</c:v>
                </c:pt>
                <c:pt idx="1">
                  <c:v>4.3088621004878291</c:v>
                </c:pt>
                <c:pt idx="2">
                  <c:v>4.2909429987629508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A-4DC0-B5C4-E14A1A07F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497120"/>
        <c:axId val="1980496640"/>
      </c:lineChart>
      <c:catAx>
        <c:axId val="198049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496640"/>
        <c:crosses val="autoZero"/>
        <c:auto val="1"/>
        <c:lblAlgn val="ctr"/>
        <c:lblOffset val="100"/>
        <c:noMultiLvlLbl val="0"/>
      </c:catAx>
      <c:valAx>
        <c:axId val="19804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  <a:r>
                  <a:rPr lang="en-US" baseline="0"/>
                  <a:t> 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49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K2 E 50 NP 8 Speed up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Sheet1!$F$30:$F$32</c:f>
              <c:numCache>
                <c:formatCode>General</c:formatCode>
                <c:ptCount val="3"/>
                <c:pt idx="0">
                  <c:v>4.3067789291882557</c:v>
                </c:pt>
                <c:pt idx="1">
                  <c:v>4.3137867395176768</c:v>
                </c:pt>
                <c:pt idx="2">
                  <c:v>4.2942220801364028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3-40D2-A680-AA1550615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461152"/>
        <c:axId val="2103461632"/>
      </c:lineChart>
      <c:catAx>
        <c:axId val="210346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61632"/>
        <c:crosses val="autoZero"/>
        <c:auto val="1"/>
        <c:lblAlgn val="ctr"/>
        <c:lblOffset val="100"/>
        <c:noMultiLvlLbl val="0"/>
      </c:catAx>
      <c:valAx>
        <c:axId val="21034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6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K2 E 100 NP 8 Speed 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Sheet1!$J$30:$J$32</c:f>
              <c:numCache>
                <c:formatCode>General</c:formatCode>
                <c:ptCount val="3"/>
                <c:pt idx="0">
                  <c:v>4.2816779260654023</c:v>
                </c:pt>
                <c:pt idx="1">
                  <c:v>4.3132126333417347</c:v>
                </c:pt>
                <c:pt idx="2">
                  <c:v>4.327484816143536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7-4B9F-8413-A8C353B5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925392"/>
        <c:axId val="1951934512"/>
      </c:lineChart>
      <c:catAx>
        <c:axId val="195192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34512"/>
        <c:crosses val="autoZero"/>
        <c:auto val="1"/>
        <c:lblAlgn val="ctr"/>
        <c:lblOffset val="100"/>
        <c:noMultiLvlLbl val="0"/>
      </c:catAx>
      <c:valAx>
        <c:axId val="19519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2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K4 E 25 NP 8 Speed up</a:t>
            </a:r>
          </a:p>
        </c:rich>
      </c:tx>
      <c:layout>
        <c:manualLayout>
          <c:xMode val="edge"/>
          <c:yMode val="edge"/>
          <c:x val="0.27387489063867015"/>
          <c:y val="2.7380957514240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Sheet1!$N$30:$N$32</c:f>
              <c:numCache>
                <c:formatCode>General</c:formatCode>
                <c:ptCount val="3"/>
                <c:pt idx="0">
                  <c:v>3.9699634878533296</c:v>
                </c:pt>
                <c:pt idx="1">
                  <c:v>3.958260948464924</c:v>
                </c:pt>
                <c:pt idx="2">
                  <c:v>3.9700604185348616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F-47F3-9D31-E4CAA7026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922032"/>
        <c:axId val="1951925872"/>
      </c:lineChart>
      <c:catAx>
        <c:axId val="195192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25872"/>
        <c:crosses val="autoZero"/>
        <c:auto val="1"/>
        <c:lblAlgn val="ctr"/>
        <c:lblOffset val="100"/>
        <c:noMultiLvlLbl val="0"/>
      </c:catAx>
      <c:valAx>
        <c:axId val="19519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2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K4 E 50 NP 8 Speed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Sheet1!$R$30:$R$32</c:f>
              <c:numCache>
                <c:formatCode>General</c:formatCode>
                <c:ptCount val="3"/>
                <c:pt idx="0">
                  <c:v>3.9125448651466366</c:v>
                </c:pt>
                <c:pt idx="1">
                  <c:v>4.0327863347362767</c:v>
                </c:pt>
                <c:pt idx="2">
                  <c:v>3.9824573039296971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D-4572-B5D3-18D1EF317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K4 E 100 NP 8 Speed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Sheet1!$V$30:$V$32</c:f>
              <c:numCache>
                <c:formatCode>General</c:formatCode>
                <c:ptCount val="3"/>
                <c:pt idx="0">
                  <c:v>3.924162646450724</c:v>
                </c:pt>
                <c:pt idx="1">
                  <c:v>3.9879589967137985</c:v>
                </c:pt>
                <c:pt idx="2">
                  <c:v>3.9342164539014934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4-4359-AB79-C0DF26E9B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K6 E 25 NP 8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Sheet1!$Z$30:$Z$32</c:f>
              <c:numCache>
                <c:formatCode>General</c:formatCode>
                <c:ptCount val="3"/>
                <c:pt idx="0">
                  <c:v>3.7486893340043066</c:v>
                </c:pt>
                <c:pt idx="1">
                  <c:v>3.743439371596629</c:v>
                </c:pt>
                <c:pt idx="2">
                  <c:v>3.7346094892910564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5-4EDC-9293-A522FCBC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K6 E 50 NP 8 Speed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Sheet1!$AD$30:$AD$32</c:f>
              <c:numCache>
                <c:formatCode>General</c:formatCode>
                <c:ptCount val="3"/>
                <c:pt idx="0">
                  <c:v>7.3460188499262138</c:v>
                </c:pt>
                <c:pt idx="1">
                  <c:v>7.5058313166696502</c:v>
                </c:pt>
                <c:pt idx="2">
                  <c:v>7.5000520252384817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A-44F0-B65F-C5A93070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K6 E 100 NP 8 Speed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Sheet1!$AH$26:$AH$28</c:f>
              <c:numCache>
                <c:formatCode>General</c:formatCode>
                <c:ptCount val="3"/>
                <c:pt idx="0">
                  <c:v>4.86503</c:v>
                </c:pt>
                <c:pt idx="1">
                  <c:v>4.7695600000000002</c:v>
                </c:pt>
                <c:pt idx="2">
                  <c:v>4.8046800000000003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7-4E5E-9988-D61CB33BC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Distribute CPU K2 E 25</a:t>
            </a:r>
            <a:r>
              <a:rPr lang="en-US" baseline="0"/>
              <a:t> </a:t>
            </a:r>
            <a:r>
              <a:rPr lang="en-US"/>
              <a:t>NP</a:t>
            </a:r>
            <a:r>
              <a:rPr lang="en-US" baseline="0"/>
              <a:t> Efficiency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Sheet1!$E$30:$E$32</c:f>
              <c:numCache>
                <c:formatCode>General</c:formatCode>
                <c:ptCount val="3"/>
                <c:pt idx="0">
                  <c:v>2.147726343617137</c:v>
                </c:pt>
                <c:pt idx="1">
                  <c:v>1.4362873668292764</c:v>
                </c:pt>
                <c:pt idx="2">
                  <c:v>1.0727357496907377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B-4C41-9442-386EA93A5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497120"/>
        <c:axId val="1980496640"/>
      </c:lineChart>
      <c:catAx>
        <c:axId val="198049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496640"/>
        <c:crosses val="autoZero"/>
        <c:auto val="1"/>
        <c:lblAlgn val="ctr"/>
        <c:lblOffset val="100"/>
        <c:noMultiLvlLbl val="0"/>
      </c:catAx>
      <c:valAx>
        <c:axId val="19804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49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K2 E 50 NP 8 Efficiency  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Sheet1!$I$30:$I$32</c:f>
              <c:numCache>
                <c:formatCode>General</c:formatCode>
                <c:ptCount val="3"/>
                <c:pt idx="0">
                  <c:v>2.1533894645941278</c:v>
                </c:pt>
                <c:pt idx="1">
                  <c:v>1.437928913172559</c:v>
                </c:pt>
                <c:pt idx="2">
                  <c:v>1.0735555200341007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C-4127-AF76-91BCD91F5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461152"/>
        <c:axId val="2103461632"/>
      </c:lineChart>
      <c:catAx>
        <c:axId val="210346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61632"/>
        <c:crosses val="autoZero"/>
        <c:auto val="1"/>
        <c:lblAlgn val="ctr"/>
        <c:lblOffset val="100"/>
        <c:noMultiLvlLbl val="0"/>
      </c:catAx>
      <c:valAx>
        <c:axId val="21034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6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K2 E 100 NP 8 Speed up Efficiency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Sheet1!$M$30:$M$32</c:f>
              <c:numCache>
                <c:formatCode>General</c:formatCode>
                <c:ptCount val="3"/>
                <c:pt idx="0">
                  <c:v>2.1408389630327012</c:v>
                </c:pt>
                <c:pt idx="1">
                  <c:v>1.4377375444472449</c:v>
                </c:pt>
                <c:pt idx="2">
                  <c:v>1.081871204035884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4-4EA3-8A34-A525B3AE0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925392"/>
        <c:axId val="1951934512"/>
      </c:lineChart>
      <c:catAx>
        <c:axId val="195192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34512"/>
        <c:crosses val="autoZero"/>
        <c:auto val="1"/>
        <c:lblAlgn val="ctr"/>
        <c:lblOffset val="100"/>
        <c:noMultiLvlLbl val="0"/>
      </c:catAx>
      <c:valAx>
        <c:axId val="19519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2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K4 E 25 NP 8  Efficiency</a:t>
            </a:r>
          </a:p>
        </c:rich>
      </c:tx>
      <c:layout>
        <c:manualLayout>
          <c:xMode val="edge"/>
          <c:yMode val="edge"/>
          <c:x val="0.27387489063867015"/>
          <c:y val="2.7380957514240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Sheet1!$Q$30:$Q$32</c:f>
              <c:numCache>
                <c:formatCode>General</c:formatCode>
                <c:ptCount val="3"/>
                <c:pt idx="0">
                  <c:v>1.9849817439266648</c:v>
                </c:pt>
                <c:pt idx="1">
                  <c:v>1.3194203161549747</c:v>
                </c:pt>
                <c:pt idx="2">
                  <c:v>0.99251510463371539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E-4740-B4CB-4C56617AF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922032"/>
        <c:axId val="1951925872"/>
      </c:lineChart>
      <c:catAx>
        <c:axId val="195192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25872"/>
        <c:crosses val="autoZero"/>
        <c:auto val="1"/>
        <c:lblAlgn val="ctr"/>
        <c:lblOffset val="100"/>
        <c:noMultiLvlLbl val="0"/>
      </c:catAx>
      <c:valAx>
        <c:axId val="19519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2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K4 E 50 NP 8 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Sheet1!$U$30:$U$32</c:f>
              <c:numCache>
                <c:formatCode>General</c:formatCode>
                <c:ptCount val="3"/>
                <c:pt idx="0">
                  <c:v>1.9562724325733183</c:v>
                </c:pt>
                <c:pt idx="1">
                  <c:v>1.344262111578759</c:v>
                </c:pt>
                <c:pt idx="2">
                  <c:v>0.99561432598242428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B-4C6C-B730-839FBD225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K4 E 100 NP 8 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Sheet1!$Y$30:$Y$32</c:f>
              <c:numCache>
                <c:formatCode>General</c:formatCode>
                <c:ptCount val="3"/>
                <c:pt idx="0">
                  <c:v>1.962081323225362</c:v>
                </c:pt>
                <c:pt idx="1">
                  <c:v>1.3293196655712662</c:v>
                </c:pt>
                <c:pt idx="2">
                  <c:v>0.98355411347537336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4-4159-A52A-33EAD8B96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K6 E 25 NP 8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Sheet1!$AC$30:$AC$32</c:f>
              <c:numCache>
                <c:formatCode>General</c:formatCode>
                <c:ptCount val="3"/>
                <c:pt idx="0">
                  <c:v>1.8743446670021533</c:v>
                </c:pt>
                <c:pt idx="1">
                  <c:v>1.247813123865543</c:v>
                </c:pt>
                <c:pt idx="2">
                  <c:v>0.9336523723227641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6-49BD-B3C7-19484C6B5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K6 E 50 NP 8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Sheet1!$AG$30:$AG$32</c:f>
              <c:numCache>
                <c:formatCode>General</c:formatCode>
                <c:ptCount val="3"/>
                <c:pt idx="0">
                  <c:v>3.6730094249631069</c:v>
                </c:pt>
                <c:pt idx="1">
                  <c:v>2.5019437722232167</c:v>
                </c:pt>
                <c:pt idx="2">
                  <c:v>1.8750130063096204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7-4B5F-A214-90479F23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Distribute CPU K6 E 100 NP 8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Sheet1!$A$26:$A$28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Sheet1!$AK$30:$AK$32</c:f>
              <c:numCache>
                <c:formatCode>General</c:formatCode>
                <c:ptCount val="3"/>
                <c:pt idx="0">
                  <c:v>0.92616849228062315</c:v>
                </c:pt>
                <c:pt idx="1">
                  <c:v>0.62980477584235584</c:v>
                </c:pt>
                <c:pt idx="2">
                  <c:v>0.4689008945444858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1-4EEF-8B47-8250278FD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18864"/>
        <c:axId val="1976517424"/>
      </c:lineChart>
      <c:catAx>
        <c:axId val="197651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7424"/>
        <c:crosses val="autoZero"/>
        <c:auto val="1"/>
        <c:lblAlgn val="ctr"/>
        <c:lblOffset val="100"/>
        <c:noMultiLvlLbl val="0"/>
      </c:catAx>
      <c:valAx>
        <c:axId val="19765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583622</xdr:colOff>
      <xdr:row>54</xdr:row>
      <xdr:rowOff>94904</xdr:rowOff>
    </xdr:from>
    <xdr:to>
      <xdr:col>7</xdr:col>
      <xdr:colOff>515042</xdr:colOff>
      <xdr:row>69</xdr:row>
      <xdr:rowOff>94904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853BB-368E-DEFA-46CA-0A75EEC3B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361950</xdr:colOff>
      <xdr:row>54</xdr:row>
      <xdr:rowOff>80010</xdr:rowOff>
    </xdr:from>
    <xdr:to>
      <xdr:col>16</xdr:col>
      <xdr:colOff>57150</xdr:colOff>
      <xdr:row>69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B1BE6E-3EFF-8E1B-B91A-83D545884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651510</xdr:colOff>
      <xdr:row>72</xdr:row>
      <xdr:rowOff>152400</xdr:rowOff>
    </xdr:from>
    <xdr:to>
      <xdr:col>7</xdr:col>
      <xdr:colOff>582930</xdr:colOff>
      <xdr:row>87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502005-EB9C-4C6E-4B0F-8697EE907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243840</xdr:colOff>
      <xdr:row>73</xdr:row>
      <xdr:rowOff>26670</xdr:rowOff>
    </xdr:from>
    <xdr:to>
      <xdr:col>15</xdr:col>
      <xdr:colOff>548640</xdr:colOff>
      <xdr:row>88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E66A3C-4989-3685-C639-21186D08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228600</xdr:colOff>
      <xdr:row>54</xdr:row>
      <xdr:rowOff>3810</xdr:rowOff>
    </xdr:from>
    <xdr:to>
      <xdr:col>23</xdr:col>
      <xdr:colOff>533400</xdr:colOff>
      <xdr:row>69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A92090-4013-A6FB-B2D1-4FE10FA16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407670</xdr:colOff>
      <xdr:row>73</xdr:row>
      <xdr:rowOff>114300</xdr:rowOff>
    </xdr:from>
    <xdr:to>
      <xdr:col>24</xdr:col>
      <xdr:colOff>102870</xdr:colOff>
      <xdr:row>88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05F21B-2F84-4691-B3B8-0FFE0E4CE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491490</xdr:colOff>
      <xdr:row>54</xdr:row>
      <xdr:rowOff>30480</xdr:rowOff>
    </xdr:from>
    <xdr:to>
      <xdr:col>31</xdr:col>
      <xdr:colOff>186690</xdr:colOff>
      <xdr:row>69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DA9E02-2DA4-464D-A843-B0772C384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514350</xdr:colOff>
      <xdr:row>72</xdr:row>
      <xdr:rowOff>125730</xdr:rowOff>
    </xdr:from>
    <xdr:to>
      <xdr:col>33</xdr:col>
      <xdr:colOff>209550</xdr:colOff>
      <xdr:row>87</xdr:row>
      <xdr:rowOff>125730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B3A728-9A34-4C49-A310-9F9546E97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502920</xdr:colOff>
      <xdr:row>53</xdr:row>
      <xdr:rowOff>80010</xdr:rowOff>
    </xdr:from>
    <xdr:to>
      <xdr:col>39</xdr:col>
      <xdr:colOff>198120</xdr:colOff>
      <xdr:row>68</xdr:row>
      <xdr:rowOff>80010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E440EA-5892-405A-BF21-574B7D764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95</xdr:row>
      <xdr:rowOff>14894</xdr:rowOff>
    </xdr:from>
    <xdr:to>
      <xdr:col>8</xdr:col>
      <xdr:colOff>312420</xdr:colOff>
      <xdr:row>110</xdr:row>
      <xdr:rowOff>14894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199446-BF24-4924-BAA0-57B7BFE92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159328</xdr:colOff>
      <xdr:row>95</xdr:row>
      <xdr:rowOff>0</xdr:rowOff>
    </xdr:from>
    <xdr:to>
      <xdr:col>16</xdr:col>
      <xdr:colOff>464128</xdr:colOff>
      <xdr:row>110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EFE0A06-CA51-46D8-885D-EA123A4B4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67888</xdr:colOff>
      <xdr:row>113</xdr:row>
      <xdr:rowOff>72390</xdr:rowOff>
    </xdr:from>
    <xdr:to>
      <xdr:col>8</xdr:col>
      <xdr:colOff>380308</xdr:colOff>
      <xdr:row>128</xdr:row>
      <xdr:rowOff>72390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5738021-4177-40B5-8981-2DCED41D7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41218</xdr:colOff>
      <xdr:row>113</xdr:row>
      <xdr:rowOff>137160</xdr:rowOff>
    </xdr:from>
    <xdr:to>
      <xdr:col>16</xdr:col>
      <xdr:colOff>346018</xdr:colOff>
      <xdr:row>128</xdr:row>
      <xdr:rowOff>137160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4B316-4983-4878-AC40-792268B97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25978</xdr:colOff>
      <xdr:row>94</xdr:row>
      <xdr:rowOff>114300</xdr:rowOff>
    </xdr:from>
    <xdr:to>
      <xdr:col>24</xdr:col>
      <xdr:colOff>330778</xdr:colOff>
      <xdr:row>109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0A2FD78-4A75-4F10-ACE8-2B236FEB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205048</xdr:colOff>
      <xdr:row>114</xdr:row>
      <xdr:rowOff>34290</xdr:rowOff>
    </xdr:from>
    <xdr:to>
      <xdr:col>24</xdr:col>
      <xdr:colOff>509848</xdr:colOff>
      <xdr:row>129</xdr:row>
      <xdr:rowOff>34290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A49848-06EF-4ECE-8D3D-394EE0B8B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288868</xdr:colOff>
      <xdr:row>94</xdr:row>
      <xdr:rowOff>140970</xdr:rowOff>
    </xdr:from>
    <xdr:to>
      <xdr:col>31</xdr:col>
      <xdr:colOff>593668</xdr:colOff>
      <xdr:row>109</xdr:row>
      <xdr:rowOff>140970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81F137C-828F-4991-9B0B-7166E4806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311728</xdr:colOff>
      <xdr:row>113</xdr:row>
      <xdr:rowOff>45720</xdr:rowOff>
    </xdr:from>
    <xdr:to>
      <xdr:col>34</xdr:col>
      <xdr:colOff>6928</xdr:colOff>
      <xdr:row>128</xdr:row>
      <xdr:rowOff>45720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51BDB9F-6082-446F-8518-36001E88A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32</xdr:col>
      <xdr:colOff>300298</xdr:colOff>
      <xdr:row>94</xdr:row>
      <xdr:rowOff>0</xdr:rowOff>
    </xdr:from>
    <xdr:to>
      <xdr:col>39</xdr:col>
      <xdr:colOff>605098</xdr:colOff>
      <xdr:row>109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492289B-B981-4977-8A66-7FCFDF9D7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E16F-1B9A-4B8E-B350-5EDF5BD5179A}">
  <dimension ref="A1:AK50"/>
  <sheetViews>
    <sheetView tabSelected="1" topLeftCell="A43" zoomScale="55" zoomScaleNormal="55" workbookViewId="0">
      <selection activeCell="BK141" sqref="BK141:BK142"/>
    </sheetView>
  </sheetViews>
  <sheetFormatPr defaultRowHeight="14.4" x14ac:dyDescent="0.3"/>
  <cols>
    <col min="1" max="1" width="14.5546875" bestFit="1" customWidth="1"/>
  </cols>
  <sheetData>
    <row r="1" spans="1:37" x14ac:dyDescent="0.3">
      <c r="A1" t="s">
        <v>9</v>
      </c>
    </row>
    <row r="2" spans="1:37" x14ac:dyDescent="0.3">
      <c r="A2" t="s">
        <v>0</v>
      </c>
      <c r="B2" t="s">
        <v>1</v>
      </c>
      <c r="C2" t="s">
        <v>10</v>
      </c>
      <c r="D2" t="s">
        <v>11</v>
      </c>
      <c r="E2" t="s">
        <v>12</v>
      </c>
      <c r="F2" t="s">
        <v>2</v>
      </c>
      <c r="G2" t="s">
        <v>10</v>
      </c>
      <c r="H2" t="s">
        <v>11</v>
      </c>
      <c r="I2" t="s">
        <v>12</v>
      </c>
      <c r="J2" t="s">
        <v>13</v>
      </c>
      <c r="K2" t="s">
        <v>10</v>
      </c>
      <c r="L2" t="s">
        <v>11</v>
      </c>
      <c r="M2" t="s">
        <v>12</v>
      </c>
      <c r="N2" t="s">
        <v>3</v>
      </c>
      <c r="O2" t="s">
        <v>10</v>
      </c>
      <c r="P2" t="s">
        <v>11</v>
      </c>
      <c r="Q2" t="s">
        <v>12</v>
      </c>
      <c r="R2" t="s">
        <v>4</v>
      </c>
      <c r="S2" t="s">
        <v>10</v>
      </c>
      <c r="T2" t="s">
        <v>11</v>
      </c>
      <c r="U2" t="s">
        <v>12</v>
      </c>
      <c r="V2" t="s">
        <v>5</v>
      </c>
      <c r="W2" t="s">
        <v>10</v>
      </c>
      <c r="X2" t="s">
        <v>11</v>
      </c>
      <c r="Y2" t="s">
        <v>12</v>
      </c>
      <c r="Z2" t="s">
        <v>6</v>
      </c>
      <c r="AA2" t="s">
        <v>10</v>
      </c>
      <c r="AB2" t="s">
        <v>11</v>
      </c>
      <c r="AC2" t="s">
        <v>12</v>
      </c>
      <c r="AD2" t="s">
        <v>7</v>
      </c>
      <c r="AE2" t="s">
        <v>10</v>
      </c>
      <c r="AF2" t="s">
        <v>11</v>
      </c>
      <c r="AG2" t="s">
        <v>12</v>
      </c>
      <c r="AH2" t="s">
        <v>8</v>
      </c>
      <c r="AI2" t="s">
        <v>10</v>
      </c>
      <c r="AJ2" t="s">
        <v>11</v>
      </c>
      <c r="AK2" t="s">
        <v>12</v>
      </c>
    </row>
    <row r="3" spans="1:37" x14ac:dyDescent="0.3">
      <c r="A3">
        <v>2</v>
      </c>
      <c r="B3">
        <v>0.86820799999999998</v>
      </c>
      <c r="C3">
        <v>0.18349399999999999</v>
      </c>
      <c r="D3">
        <v>0.36605500000000002</v>
      </c>
      <c r="E3">
        <v>0.73863199999999996</v>
      </c>
      <c r="F3">
        <v>1.7016100000000001</v>
      </c>
      <c r="G3">
        <v>0.366616</v>
      </c>
      <c r="H3">
        <v>0.73560000000000003</v>
      </c>
      <c r="I3">
        <v>1.48123</v>
      </c>
      <c r="J3">
        <v>3.3960300000000001</v>
      </c>
      <c r="K3">
        <v>0.73334200000000005</v>
      </c>
      <c r="L3">
        <v>1.46279</v>
      </c>
      <c r="M3">
        <v>2.9493299999999998</v>
      </c>
      <c r="N3">
        <v>1.3191900000000001</v>
      </c>
      <c r="O3">
        <v>0.28169899999999998</v>
      </c>
      <c r="P3">
        <v>0.56322700000000003</v>
      </c>
      <c r="Q3">
        <v>1.1404000000000001</v>
      </c>
      <c r="R3">
        <v>2.61782</v>
      </c>
      <c r="S3">
        <v>0.56441600000000003</v>
      </c>
      <c r="T3">
        <v>1.12642</v>
      </c>
      <c r="U3">
        <v>2.23847</v>
      </c>
      <c r="V3">
        <v>5.1898200000000001</v>
      </c>
      <c r="W3">
        <v>1.11572</v>
      </c>
      <c r="X3">
        <v>2.2465999999999999</v>
      </c>
      <c r="Y3">
        <v>4.5304200000000003</v>
      </c>
      <c r="Z3">
        <v>1.7935300000000001</v>
      </c>
      <c r="AA3">
        <v>0.38183699999999998</v>
      </c>
      <c r="AB3">
        <v>0.77061000000000002</v>
      </c>
      <c r="AC3">
        <v>1.56375</v>
      </c>
      <c r="AD3">
        <v>3.5316100000000001</v>
      </c>
      <c r="AE3">
        <v>0.76997400000000005</v>
      </c>
      <c r="AF3">
        <v>1.5492699999999999</v>
      </c>
      <c r="AG3">
        <v>3.0956600000000001</v>
      </c>
      <c r="AH3">
        <v>7.0490500000000003</v>
      </c>
      <c r="AI3">
        <v>1.5216799999999999</v>
      </c>
      <c r="AJ3">
        <v>3.0708099999999998</v>
      </c>
      <c r="AK3">
        <v>6.1841299999999997</v>
      </c>
    </row>
    <row r="4" spans="1:37" x14ac:dyDescent="0.3">
      <c r="A4">
        <v>3</v>
      </c>
      <c r="B4">
        <v>0.77693800000000002</v>
      </c>
      <c r="C4">
        <v>0.17023199999999999</v>
      </c>
      <c r="D4">
        <v>0.33944800000000003</v>
      </c>
      <c r="E4">
        <v>0.67700800000000005</v>
      </c>
      <c r="F4">
        <v>1.5504800000000001</v>
      </c>
      <c r="G4">
        <v>0.340559</v>
      </c>
      <c r="H4">
        <v>0.67885600000000001</v>
      </c>
      <c r="I4">
        <v>1.35446</v>
      </c>
      <c r="J4">
        <v>3.1105299999999998</v>
      </c>
      <c r="K4">
        <v>0.68634099999999998</v>
      </c>
      <c r="L4">
        <v>1.35659</v>
      </c>
      <c r="M4">
        <v>2.7005599999999998</v>
      </c>
      <c r="N4">
        <v>1.1877500000000001</v>
      </c>
      <c r="O4">
        <v>0.25952399999999998</v>
      </c>
      <c r="P4">
        <v>0.53096900000000002</v>
      </c>
      <c r="Q4">
        <v>1.0426899999999999</v>
      </c>
      <c r="R4">
        <v>2.37005</v>
      </c>
      <c r="S4">
        <v>0.517069</v>
      </c>
      <c r="T4">
        <v>1.05254</v>
      </c>
      <c r="U4">
        <v>2.0642399999999999</v>
      </c>
      <c r="V4">
        <v>4.7537099999999999</v>
      </c>
      <c r="W4">
        <v>1.0474300000000001</v>
      </c>
      <c r="X4">
        <v>2.0724200000000002</v>
      </c>
      <c r="Y4">
        <v>4.1580899999999996</v>
      </c>
      <c r="Z4">
        <v>1.59514</v>
      </c>
      <c r="AA4">
        <v>0.35379899999999997</v>
      </c>
      <c r="AB4">
        <v>0.70463200000000004</v>
      </c>
      <c r="AC4">
        <v>1.3992199999999999</v>
      </c>
      <c r="AD4">
        <v>3.1949700000000001</v>
      </c>
      <c r="AE4">
        <v>0.69620400000000005</v>
      </c>
      <c r="AF4">
        <v>1.42299</v>
      </c>
      <c r="AG4">
        <v>2.8198799999999999</v>
      </c>
      <c r="AH4">
        <v>6.3988100000000001</v>
      </c>
      <c r="AI4">
        <v>1.40079</v>
      </c>
      <c r="AJ4">
        <v>2.7766199999999999</v>
      </c>
      <c r="AK4">
        <v>5.5530099999999996</v>
      </c>
    </row>
    <row r="5" spans="1:37" x14ac:dyDescent="0.3">
      <c r="A5">
        <v>4</v>
      </c>
      <c r="B5">
        <v>0.77853499999999998</v>
      </c>
      <c r="C5">
        <v>0.17022399999999999</v>
      </c>
      <c r="D5">
        <v>0.33935900000000002</v>
      </c>
      <c r="E5">
        <v>0.67790099999999998</v>
      </c>
      <c r="F5">
        <v>1.5559700000000001</v>
      </c>
      <c r="G5">
        <v>0.34159</v>
      </c>
      <c r="H5">
        <v>0.67885700000000004</v>
      </c>
      <c r="I5">
        <v>1.3524499999999999</v>
      </c>
      <c r="J5">
        <v>3.1093099999999998</v>
      </c>
      <c r="K5">
        <v>0.67866000000000004</v>
      </c>
      <c r="L5">
        <v>1.3561300000000001</v>
      </c>
      <c r="M5">
        <v>2.7040799999999998</v>
      </c>
      <c r="N5">
        <v>1.1966600000000001</v>
      </c>
      <c r="O5">
        <v>0.26194099999999998</v>
      </c>
      <c r="P5">
        <v>0.51983500000000005</v>
      </c>
      <c r="Q5">
        <v>1.0445800000000001</v>
      </c>
      <c r="R5">
        <v>2.3718400000000002</v>
      </c>
      <c r="S5">
        <v>0.51638700000000004</v>
      </c>
      <c r="T5">
        <v>1.0422499999999999</v>
      </c>
      <c r="U5">
        <v>2.08392</v>
      </c>
      <c r="V5">
        <v>4.7823500000000001</v>
      </c>
      <c r="W5">
        <v>1.04003</v>
      </c>
      <c r="X5">
        <v>2.1148199999999999</v>
      </c>
      <c r="Y5">
        <v>4.0947399999999998</v>
      </c>
      <c r="Z5">
        <v>1.5907800000000001</v>
      </c>
      <c r="AA5">
        <v>0.34959200000000001</v>
      </c>
      <c r="AB5">
        <v>0.69936299999999996</v>
      </c>
      <c r="AC5">
        <v>1.3843099999999999</v>
      </c>
      <c r="AD5">
        <v>3.2008200000000002</v>
      </c>
      <c r="AE5">
        <v>0.69586599999999998</v>
      </c>
      <c r="AF5">
        <v>1.40869</v>
      </c>
      <c r="AG5">
        <v>2.7835399999999999</v>
      </c>
      <c r="AH5">
        <v>6.423</v>
      </c>
      <c r="AI5">
        <v>1.40249</v>
      </c>
      <c r="AJ5">
        <v>2.8106399999999998</v>
      </c>
      <c r="AK5">
        <v>5.6034699999999997</v>
      </c>
    </row>
    <row r="6" spans="1:37" x14ac:dyDescent="0.3">
      <c r="A6" t="s">
        <v>17</v>
      </c>
      <c r="D6" t="s">
        <v>18</v>
      </c>
      <c r="H6" t="s">
        <v>18</v>
      </c>
      <c r="L6" t="s">
        <v>18</v>
      </c>
      <c r="P6" t="s">
        <v>18</v>
      </c>
      <c r="T6" t="s">
        <v>18</v>
      </c>
      <c r="X6" t="s">
        <v>18</v>
      </c>
      <c r="AB6" t="s">
        <v>18</v>
      </c>
      <c r="AF6" t="s">
        <v>18</v>
      </c>
      <c r="AJ6" t="s">
        <v>18</v>
      </c>
    </row>
    <row r="7" spans="1:37" x14ac:dyDescent="0.3">
      <c r="B7">
        <f>A$43/B3</f>
        <v>2.9045343972872861</v>
      </c>
      <c r="E7">
        <f>B7/A3</f>
        <v>1.4522671986436431</v>
      </c>
      <c r="F7">
        <f>E$43/F3</f>
        <v>2.9602097425379497</v>
      </c>
      <c r="I7">
        <f>F7/E3</f>
        <v>4.0076922507255981</v>
      </c>
      <c r="J7">
        <f>I$43/J3</f>
        <v>2.9729787428261822</v>
      </c>
      <c r="M7">
        <f>J7/I3</f>
        <v>2.0071013568630005</v>
      </c>
      <c r="N7">
        <f>M$43/N3</f>
        <v>2.7116753462351895</v>
      </c>
      <c r="Q7">
        <f>N7/M3</f>
        <v>0.91942079937992349</v>
      </c>
      <c r="R7">
        <f>Q$43/R3</f>
        <v>2.7524657921476652</v>
      </c>
      <c r="U7">
        <f t="shared" ref="U7:U9" si="0">R7/Q3</f>
        <v>2.4135968012518982</v>
      </c>
      <c r="V7">
        <f>U$43/V3</f>
        <v>2.7428504264117062</v>
      </c>
      <c r="Y7">
        <f t="shared" ref="Y7:Y9" si="1">V7/U3</f>
        <v>1.2253237373794181</v>
      </c>
      <c r="Z7">
        <f>Y$43/Z3</f>
        <v>2.5335783343462333</v>
      </c>
      <c r="AC7">
        <f t="shared" ref="AC7:AC9" si="2">Z7/Y3</f>
        <v>0.55923696574406634</v>
      </c>
      <c r="AD7">
        <f>AC$43/AD3</f>
        <v>5.1025523769612144</v>
      </c>
      <c r="AG7">
        <f t="shared" ref="AG7:AG9" si="3">AD7/AC3</f>
        <v>3.263023102772959</v>
      </c>
      <c r="AH7">
        <f>AG$43/AH3</f>
        <v>1.2784240429561431</v>
      </c>
      <c r="AK7">
        <f t="shared" ref="AK7:AK9" si="4">AH7/AG3</f>
        <v>0.41297301478719983</v>
      </c>
    </row>
    <row r="8" spans="1:37" x14ac:dyDescent="0.3">
      <c r="B8">
        <f>A$43/B4</f>
        <v>3.245741616448159</v>
      </c>
      <c r="E8">
        <f t="shared" ref="E8:E9" si="5">B8/A4</f>
        <v>1.0819138721493864</v>
      </c>
      <c r="F8">
        <f>E$43/F4</f>
        <v>3.2487503869769365</v>
      </c>
      <c r="I8">
        <f t="shared" ref="I8:I9" si="6">F8/E4</f>
        <v>4.7986883271348884</v>
      </c>
      <c r="J8">
        <f>I$43/J4</f>
        <v>3.2458536005118104</v>
      </c>
      <c r="M8">
        <f t="shared" ref="M8:M9" si="7">J8/I4</f>
        <v>2.3964189422440016</v>
      </c>
      <c r="N8">
        <f>M$43/N4</f>
        <v>3.0117575247316353</v>
      </c>
      <c r="Q8">
        <f t="shared" ref="Q8:Q9" si="8">N8/M4</f>
        <v>1.1152344420163356</v>
      </c>
      <c r="R8">
        <f>Q$43/R4</f>
        <v>3.0402143414695892</v>
      </c>
      <c r="U8">
        <f t="shared" si="0"/>
        <v>2.9157413435149371</v>
      </c>
      <c r="V8">
        <f>U$43/V4</f>
        <v>2.9944822044255965</v>
      </c>
      <c r="Y8">
        <f t="shared" si="1"/>
        <v>1.4506463417168531</v>
      </c>
      <c r="Z8">
        <f>Y$43/Z4</f>
        <v>2.848683344408641</v>
      </c>
      <c r="AC8">
        <f t="shared" si="2"/>
        <v>0.68509420056050763</v>
      </c>
      <c r="AD8">
        <f>AC$43/AD4</f>
        <v>5.6401859798370548</v>
      </c>
      <c r="AG8">
        <f t="shared" si="3"/>
        <v>4.0309500863602974</v>
      </c>
      <c r="AH8">
        <f>AG$43/AH4</f>
        <v>1.4083360812401056</v>
      </c>
      <c r="AK8">
        <f t="shared" si="4"/>
        <v>0.49943121027848902</v>
      </c>
    </row>
    <row r="9" spans="1:37" x14ac:dyDescent="0.3">
      <c r="B9">
        <f>A$43/B5</f>
        <v>3.2390836635475604</v>
      </c>
      <c r="E9">
        <f t="shared" si="5"/>
        <v>0.8097709158868901</v>
      </c>
      <c r="F9">
        <f>E$43/F5</f>
        <v>3.2372876726415036</v>
      </c>
      <c r="I9">
        <f t="shared" si="6"/>
        <v>4.7754578804891921</v>
      </c>
      <c r="J9">
        <f>I$43/J5</f>
        <v>3.2471271761258933</v>
      </c>
      <c r="M9">
        <f t="shared" si="7"/>
        <v>2.40092216061658</v>
      </c>
      <c r="N9">
        <f>M$43/N5</f>
        <v>2.9893328096535354</v>
      </c>
      <c r="Q9">
        <f t="shared" si="8"/>
        <v>1.1054897819789118</v>
      </c>
      <c r="R9">
        <f>Q$43/R5</f>
        <v>3.03791992714517</v>
      </c>
      <c r="U9">
        <f t="shared" si="0"/>
        <v>2.9082692825299832</v>
      </c>
      <c r="V9">
        <f>U$43/V5</f>
        <v>2.9765491860696103</v>
      </c>
      <c r="Y9">
        <f t="shared" si="1"/>
        <v>1.4283413883784455</v>
      </c>
      <c r="Z9">
        <f>Y$43/Z5</f>
        <v>2.8564909981267048</v>
      </c>
      <c r="AC9">
        <f t="shared" si="2"/>
        <v>0.69760009136763379</v>
      </c>
      <c r="AD9">
        <f>AC$43/AD5</f>
        <v>5.6298776563505584</v>
      </c>
      <c r="AG9">
        <f t="shared" si="3"/>
        <v>4.0669197335499696</v>
      </c>
      <c r="AH9">
        <f>AG$43/AH5</f>
        <v>1.4030320722403862</v>
      </c>
      <c r="AK9">
        <f t="shared" si="4"/>
        <v>0.50404595308146682</v>
      </c>
    </row>
    <row r="13" spans="1:37" x14ac:dyDescent="0.3">
      <c r="A13" t="s">
        <v>14</v>
      </c>
    </row>
    <row r="14" spans="1:37" x14ac:dyDescent="0.3">
      <c r="A14" t="s">
        <v>0</v>
      </c>
      <c r="B14" t="s">
        <v>1</v>
      </c>
      <c r="C14" t="s">
        <v>10</v>
      </c>
      <c r="D14" t="s">
        <v>11</v>
      </c>
      <c r="E14" t="s">
        <v>12</v>
      </c>
      <c r="F14" t="s">
        <v>2</v>
      </c>
      <c r="G14" t="s">
        <v>10</v>
      </c>
      <c r="H14" t="s">
        <v>11</v>
      </c>
      <c r="I14" t="s">
        <v>12</v>
      </c>
      <c r="J14" t="s">
        <v>13</v>
      </c>
      <c r="K14" t="s">
        <v>10</v>
      </c>
      <c r="L14" t="s">
        <v>11</v>
      </c>
      <c r="M14" t="s">
        <v>12</v>
      </c>
      <c r="N14" t="s">
        <v>3</v>
      </c>
      <c r="O14" t="s">
        <v>10</v>
      </c>
      <c r="P14" t="s">
        <v>11</v>
      </c>
      <c r="Q14" t="s">
        <v>12</v>
      </c>
      <c r="R14" t="s">
        <v>4</v>
      </c>
      <c r="S14" t="s">
        <v>10</v>
      </c>
      <c r="T14" t="s">
        <v>11</v>
      </c>
      <c r="U14" t="s">
        <v>12</v>
      </c>
      <c r="V14" t="s">
        <v>5</v>
      </c>
      <c r="W14" t="s">
        <v>10</v>
      </c>
      <c r="X14" t="s">
        <v>11</v>
      </c>
      <c r="Y14" t="s">
        <v>12</v>
      </c>
      <c r="Z14" t="s">
        <v>6</v>
      </c>
      <c r="AA14" t="s">
        <v>10</v>
      </c>
      <c r="AB14" t="s">
        <v>11</v>
      </c>
      <c r="AC14" t="s">
        <v>12</v>
      </c>
      <c r="AD14" t="s">
        <v>7</v>
      </c>
      <c r="AE14" t="s">
        <v>10</v>
      </c>
      <c r="AF14" t="s">
        <v>11</v>
      </c>
      <c r="AG14" t="s">
        <v>12</v>
      </c>
      <c r="AH14" t="s">
        <v>8</v>
      </c>
      <c r="AI14" t="s">
        <v>10</v>
      </c>
      <c r="AJ14" t="s">
        <v>11</v>
      </c>
      <c r="AK14" t="s">
        <v>12</v>
      </c>
    </row>
    <row r="15" spans="1:37" x14ac:dyDescent="0.3">
      <c r="A15">
        <v>2</v>
      </c>
      <c r="B15">
        <v>1.1635599999999999</v>
      </c>
      <c r="C15">
        <v>0.25468000000000002</v>
      </c>
      <c r="D15">
        <v>0.51213500000000001</v>
      </c>
      <c r="E15">
        <v>1.0140199999999999</v>
      </c>
      <c r="F15">
        <v>2.3250199999999999</v>
      </c>
      <c r="G15">
        <v>0.51333600000000001</v>
      </c>
      <c r="H15">
        <v>1.01661</v>
      </c>
      <c r="I15">
        <v>2.0282499999999999</v>
      </c>
      <c r="J15">
        <v>4.64344</v>
      </c>
      <c r="K15">
        <v>1.0204599999999999</v>
      </c>
      <c r="L15">
        <v>2.02644</v>
      </c>
      <c r="M15">
        <v>4.0670599999999997</v>
      </c>
      <c r="N15">
        <v>1.80053</v>
      </c>
      <c r="O15">
        <v>0.391791</v>
      </c>
      <c r="P15">
        <v>0.77711300000000005</v>
      </c>
      <c r="Q15">
        <v>1.55874</v>
      </c>
      <c r="R15">
        <v>3.6414599999999999</v>
      </c>
      <c r="S15">
        <v>0.77755799999999997</v>
      </c>
      <c r="T15">
        <v>1.55745</v>
      </c>
      <c r="U15">
        <v>3.12351</v>
      </c>
      <c r="V15">
        <v>7.2682000000000002</v>
      </c>
      <c r="W15">
        <v>1.5656300000000001</v>
      </c>
      <c r="X15">
        <v>3.1265499999999999</v>
      </c>
      <c r="Y15">
        <v>6.2613399999999997</v>
      </c>
      <c r="Z15">
        <v>2.4107799999999999</v>
      </c>
      <c r="AA15">
        <v>0.53005800000000003</v>
      </c>
      <c r="AB15">
        <v>1.0456000000000001</v>
      </c>
      <c r="AC15">
        <v>2.0867</v>
      </c>
      <c r="AD15">
        <v>4.7987799999999998</v>
      </c>
      <c r="AE15">
        <v>1.04511</v>
      </c>
      <c r="AF15">
        <v>2.0798299999999998</v>
      </c>
      <c r="AG15">
        <v>4.1843700000000004</v>
      </c>
      <c r="AH15">
        <v>9.7227200000000007</v>
      </c>
      <c r="AI15">
        <v>2.0853100000000002</v>
      </c>
      <c r="AJ15">
        <v>4.1488500000000004</v>
      </c>
      <c r="AK15">
        <v>8.3246400000000005</v>
      </c>
    </row>
    <row r="16" spans="1:37" x14ac:dyDescent="0.3">
      <c r="A16">
        <v>3</v>
      </c>
      <c r="B16">
        <v>1.1876100000000001</v>
      </c>
      <c r="C16">
        <v>0.26207999999999998</v>
      </c>
      <c r="D16">
        <v>0.51888599999999996</v>
      </c>
      <c r="E16">
        <v>1.0337400000000001</v>
      </c>
      <c r="F16">
        <v>2.3578999999999999</v>
      </c>
      <c r="G16">
        <v>0.52060499999999998</v>
      </c>
      <c r="H16">
        <v>1.0318000000000001</v>
      </c>
      <c r="I16">
        <v>2.0686100000000001</v>
      </c>
      <c r="J16">
        <v>4.7170800000000002</v>
      </c>
      <c r="K16">
        <v>1.03392</v>
      </c>
      <c r="L16">
        <v>2.0722700000000001</v>
      </c>
      <c r="M16">
        <v>4.1236499999999996</v>
      </c>
      <c r="N16">
        <v>1.8077099999999999</v>
      </c>
      <c r="O16">
        <v>0.39609100000000003</v>
      </c>
      <c r="P16">
        <v>0.801647</v>
      </c>
      <c r="Q16">
        <v>1.5871500000000001</v>
      </c>
      <c r="R16">
        <v>3.6243799999999999</v>
      </c>
      <c r="S16">
        <v>0.793485</v>
      </c>
      <c r="T16">
        <v>1.5783100000000001</v>
      </c>
      <c r="U16">
        <v>3.1606299999999998</v>
      </c>
      <c r="V16">
        <v>7.3507600000000002</v>
      </c>
      <c r="W16">
        <v>1.58683</v>
      </c>
      <c r="X16">
        <v>3.13727</v>
      </c>
      <c r="Y16">
        <v>6.2975500000000002</v>
      </c>
      <c r="Z16">
        <v>2.4790100000000002</v>
      </c>
      <c r="AA16">
        <v>0.53015800000000002</v>
      </c>
      <c r="AB16">
        <v>1.0627500000000001</v>
      </c>
      <c r="AC16">
        <v>2.1329500000000001</v>
      </c>
      <c r="AD16">
        <v>4.7961</v>
      </c>
      <c r="AE16">
        <v>1.04691</v>
      </c>
      <c r="AF16">
        <v>2.11185</v>
      </c>
      <c r="AG16">
        <v>4.2342700000000004</v>
      </c>
      <c r="AH16">
        <v>9.7226099999999995</v>
      </c>
      <c r="AI16">
        <v>2.0881400000000001</v>
      </c>
      <c r="AJ16">
        <v>4.2171700000000003</v>
      </c>
      <c r="AK16">
        <v>8.4129199999999997</v>
      </c>
    </row>
    <row r="17" spans="1:37" x14ac:dyDescent="0.3">
      <c r="A17">
        <v>4</v>
      </c>
      <c r="B17">
        <v>1.16334</v>
      </c>
      <c r="C17">
        <v>0.255021</v>
      </c>
      <c r="D17">
        <v>0.51422199999999996</v>
      </c>
      <c r="E17">
        <v>1.01823</v>
      </c>
      <c r="F17">
        <v>2.3374799999999998</v>
      </c>
      <c r="G17">
        <v>0.51258400000000004</v>
      </c>
      <c r="H17">
        <v>1.0263</v>
      </c>
      <c r="I17">
        <v>2.02725</v>
      </c>
      <c r="J17">
        <v>4.6504099999999999</v>
      </c>
      <c r="K17">
        <v>1.0248299999999999</v>
      </c>
      <c r="L17">
        <v>2.0600900000000002</v>
      </c>
      <c r="M17">
        <v>4.0751499999999998</v>
      </c>
      <c r="N17">
        <v>1.8070200000000001</v>
      </c>
      <c r="O17">
        <v>0.39006099999999999</v>
      </c>
      <c r="P17">
        <v>0.78549999999999998</v>
      </c>
      <c r="Q17">
        <v>1.5746899999999999</v>
      </c>
      <c r="R17">
        <v>3.5816300000000001</v>
      </c>
      <c r="S17">
        <v>0.78025199999999995</v>
      </c>
      <c r="T17">
        <v>1.54661</v>
      </c>
      <c r="U17">
        <v>3.1801900000000001</v>
      </c>
      <c r="V17">
        <v>7.1332100000000001</v>
      </c>
      <c r="W17">
        <v>1.5636099999999999</v>
      </c>
      <c r="X17">
        <v>3.0976699999999999</v>
      </c>
      <c r="Y17">
        <v>6.3560299999999996</v>
      </c>
      <c r="Z17">
        <v>2.4268999999999998</v>
      </c>
      <c r="AA17">
        <v>0.52011499999999999</v>
      </c>
      <c r="AB17">
        <v>1.0481100000000001</v>
      </c>
      <c r="AC17">
        <v>2.11266</v>
      </c>
      <c r="AD17">
        <v>4.8306100000000001</v>
      </c>
      <c r="AE17">
        <v>1.06064</v>
      </c>
      <c r="AF17">
        <v>2.11178</v>
      </c>
      <c r="AG17">
        <v>4.2395399999999999</v>
      </c>
      <c r="AH17">
        <v>9.6732999999999993</v>
      </c>
      <c r="AI17">
        <v>2.0834199999999998</v>
      </c>
      <c r="AJ17">
        <v>4.2770299999999999</v>
      </c>
      <c r="AK17">
        <v>8.3807399999999994</v>
      </c>
    </row>
    <row r="18" spans="1:37" x14ac:dyDescent="0.3">
      <c r="A18" t="s">
        <v>17</v>
      </c>
      <c r="D18" t="s">
        <v>18</v>
      </c>
      <c r="H18" t="s">
        <v>18</v>
      </c>
      <c r="L18" t="s">
        <v>18</v>
      </c>
      <c r="P18" t="s">
        <v>18</v>
      </c>
      <c r="T18" t="s">
        <v>18</v>
      </c>
      <c r="X18" t="s">
        <v>18</v>
      </c>
      <c r="AB18" t="s">
        <v>18</v>
      </c>
      <c r="AF18" t="s">
        <v>18</v>
      </c>
      <c r="AJ18" t="s">
        <v>18</v>
      </c>
    </row>
    <row r="19" spans="1:37" x14ac:dyDescent="0.3">
      <c r="B19">
        <f>A$43/B15</f>
        <v>2.1672625391041289</v>
      </c>
      <c r="E19">
        <f>B19/$A15</f>
        <v>1.0836312695520645</v>
      </c>
      <c r="F19">
        <f t="shared" ref="F19" si="9">E$43/F15</f>
        <v>2.1664856646394441</v>
      </c>
      <c r="I19">
        <f t="shared" ref="I19:I21" si="10">F19/$A15</f>
        <v>1.0832428323197221</v>
      </c>
      <c r="J19">
        <f t="shared" ref="J19" si="11">I$43/J15</f>
        <v>2.174320116120807</v>
      </c>
      <c r="M19">
        <f t="shared" ref="M19:M21" si="12">J19/$A15</f>
        <v>1.0871600580604035</v>
      </c>
      <c r="N19">
        <f t="shared" ref="N19" si="13">M$43/N15</f>
        <v>1.986756677200602</v>
      </c>
      <c r="Q19">
        <f t="shared" ref="Q19:Q21" si="14">N19/$A15</f>
        <v>0.993378338600301</v>
      </c>
      <c r="R19">
        <f t="shared" ref="R19" si="15">Q$43/R15</f>
        <v>1.9787283122703532</v>
      </c>
      <c r="U19">
        <f t="shared" ref="U19:U21" si="16">R19/$A15</f>
        <v>0.98936415613517659</v>
      </c>
      <c r="V19">
        <f t="shared" ref="V19" si="17">U$43/V15</f>
        <v>1.9585179274098128</v>
      </c>
      <c r="Y19">
        <f t="shared" ref="Y19:Y21" si="18">V19/$A15</f>
        <v>0.97925896370490639</v>
      </c>
      <c r="Z19">
        <f t="shared" ref="Z19" si="19">Y$43/Z15</f>
        <v>1.8848873601075171</v>
      </c>
      <c r="AC19">
        <f t="shared" ref="AC19:AC21" si="20">Z19/$A15</f>
        <v>0.94244368005375856</v>
      </c>
      <c r="AD19">
        <f t="shared" ref="AD19" si="21">AC$43/AD15</f>
        <v>3.7551679801949658</v>
      </c>
      <c r="AG19">
        <f t="shared" ref="AG19:AG21" si="22">AD19/$A15</f>
        <v>1.8775839900974829</v>
      </c>
      <c r="AH19">
        <f t="shared" ref="AH19" si="23">AG$43/AH15</f>
        <v>0.92686768723155655</v>
      </c>
      <c r="AK19">
        <f t="shared" ref="AK19:AK21" si="24">AH19/$A15</f>
        <v>0.46343384361577827</v>
      </c>
    </row>
    <row r="20" spans="1:37" x14ac:dyDescent="0.3">
      <c r="B20">
        <f>A$43/B16</f>
        <v>2.1233738348447719</v>
      </c>
      <c r="E20">
        <f>B20/$A16</f>
        <v>0.70779127828159061</v>
      </c>
      <c r="F20">
        <f t="shared" ref="F20" si="25">E$43/F16</f>
        <v>2.136274863225752</v>
      </c>
      <c r="I20">
        <f t="shared" si="10"/>
        <v>0.7120916210752507</v>
      </c>
      <c r="J20">
        <f t="shared" ref="J20" si="26">I$43/J16</f>
        <v>2.1403760377182492</v>
      </c>
      <c r="M20">
        <f t="shared" si="12"/>
        <v>0.71345867923941642</v>
      </c>
      <c r="N20">
        <f t="shared" ref="N20" si="27">M$43/N16</f>
        <v>1.9788655259969796</v>
      </c>
      <c r="Q20">
        <f t="shared" si="14"/>
        <v>0.65962184199899321</v>
      </c>
      <c r="R20">
        <f t="shared" ref="R20" si="28">Q$43/R16</f>
        <v>1.9880531290869061</v>
      </c>
      <c r="U20">
        <f t="shared" si="16"/>
        <v>0.66268437636230204</v>
      </c>
      <c r="V20">
        <f t="shared" ref="V20" si="29">U$43/V16</f>
        <v>1.9365208495448092</v>
      </c>
      <c r="Y20">
        <f t="shared" si="18"/>
        <v>0.64550694984826973</v>
      </c>
      <c r="Z20">
        <f t="shared" ref="Z20" si="30">Y$43/Z16</f>
        <v>1.8330094473196961</v>
      </c>
      <c r="AC20">
        <f t="shared" si="20"/>
        <v>0.61100314910656539</v>
      </c>
      <c r="AD20">
        <f t="shared" ref="AD20" si="31">AC$43/AD16</f>
        <v>3.7572663205521146</v>
      </c>
      <c r="AG20">
        <f t="shared" si="22"/>
        <v>1.2524221068507049</v>
      </c>
      <c r="AH20">
        <f t="shared" ref="AH20" si="32">AG$43/AH16</f>
        <v>0.92687817365913072</v>
      </c>
      <c r="AK20">
        <f t="shared" si="24"/>
        <v>0.30895939121971022</v>
      </c>
    </row>
    <row r="21" spans="1:37" x14ac:dyDescent="0.3">
      <c r="B21">
        <f>A$43/B17</f>
        <v>2.1676723915622258</v>
      </c>
      <c r="E21">
        <f>B21/$A17</f>
        <v>0.54191809789055645</v>
      </c>
      <c r="F21">
        <f t="shared" ref="F21" si="33">E$43/F17</f>
        <v>2.1549371545424991</v>
      </c>
      <c r="I21">
        <f t="shared" si="10"/>
        <v>0.53873428863562478</v>
      </c>
      <c r="J21">
        <f t="shared" ref="J21" si="34">I$43/J17</f>
        <v>2.1710612612651357</v>
      </c>
      <c r="M21">
        <f t="shared" si="12"/>
        <v>0.54276531531628391</v>
      </c>
      <c r="N21">
        <f t="shared" ref="N21" si="35">M$43/N17</f>
        <v>1.9796211442042699</v>
      </c>
      <c r="Q21">
        <f t="shared" si="14"/>
        <v>0.49490528605106748</v>
      </c>
      <c r="R21">
        <f t="shared" ref="R21" si="36">Q$43/R17</f>
        <v>2.011782344909999</v>
      </c>
      <c r="U21">
        <f t="shared" si="16"/>
        <v>0.50294558622749974</v>
      </c>
      <c r="V21">
        <f t="shared" ref="V21" si="37">U$43/V17</f>
        <v>1.9955812320119555</v>
      </c>
      <c r="Y21">
        <f t="shared" si="18"/>
        <v>0.49889530800298887</v>
      </c>
      <c r="Z21">
        <f t="shared" ref="Z21" si="38">Y$43/Z17</f>
        <v>1.8723675264741029</v>
      </c>
      <c r="AC21">
        <f t="shared" si="20"/>
        <v>0.46809188161852572</v>
      </c>
      <c r="AD21">
        <f t="shared" ref="AD21" si="39">AC$43/AD17</f>
        <v>3.7304243149415903</v>
      </c>
      <c r="AG21">
        <f t="shared" si="22"/>
        <v>0.93260607873539758</v>
      </c>
      <c r="AH21">
        <f t="shared" ref="AH21" si="40">AG$43/AH17</f>
        <v>0.93160296899713657</v>
      </c>
      <c r="AK21">
        <f t="shared" si="24"/>
        <v>0.23290074224928414</v>
      </c>
    </row>
    <row r="24" spans="1:37" x14ac:dyDescent="0.3">
      <c r="A24" t="s">
        <v>15</v>
      </c>
    </row>
    <row r="25" spans="1:37" x14ac:dyDescent="0.3">
      <c r="A25" t="s">
        <v>0</v>
      </c>
      <c r="B25" t="s">
        <v>1</v>
      </c>
      <c r="C25" t="s">
        <v>10</v>
      </c>
      <c r="D25" t="s">
        <v>11</v>
      </c>
      <c r="E25" t="s">
        <v>12</v>
      </c>
      <c r="F25" t="s">
        <v>2</v>
      </c>
      <c r="G25" t="s">
        <v>10</v>
      </c>
      <c r="H25" t="s">
        <v>11</v>
      </c>
      <c r="I25" t="s">
        <v>12</v>
      </c>
      <c r="J25" t="s">
        <v>13</v>
      </c>
      <c r="K25" t="s">
        <v>10</v>
      </c>
      <c r="L25" t="s">
        <v>11</v>
      </c>
      <c r="M25" t="s">
        <v>12</v>
      </c>
      <c r="N25" t="s">
        <v>3</v>
      </c>
      <c r="O25" t="s">
        <v>10</v>
      </c>
      <c r="P25" t="s">
        <v>11</v>
      </c>
      <c r="Q25" t="s">
        <v>12</v>
      </c>
      <c r="R25" t="s">
        <v>4</v>
      </c>
      <c r="S25" t="s">
        <v>10</v>
      </c>
      <c r="T25" t="s">
        <v>11</v>
      </c>
      <c r="U25" t="s">
        <v>12</v>
      </c>
      <c r="V25" t="s">
        <v>5</v>
      </c>
      <c r="W25" t="s">
        <v>10</v>
      </c>
      <c r="X25" t="s">
        <v>11</v>
      </c>
      <c r="Y25" t="s">
        <v>12</v>
      </c>
      <c r="Z25" t="s">
        <v>6</v>
      </c>
      <c r="AA25" t="s">
        <v>10</v>
      </c>
      <c r="AB25" t="s">
        <v>11</v>
      </c>
      <c r="AC25" t="s">
        <v>12</v>
      </c>
      <c r="AD25" t="s">
        <v>7</v>
      </c>
      <c r="AE25" t="s">
        <v>10</v>
      </c>
      <c r="AF25" t="s">
        <v>11</v>
      </c>
      <c r="AG25" t="s">
        <v>12</v>
      </c>
      <c r="AH25" t="s">
        <v>8</v>
      </c>
      <c r="AI25" t="s">
        <v>10</v>
      </c>
      <c r="AJ25" t="s">
        <v>11</v>
      </c>
      <c r="AK25" t="s">
        <v>12</v>
      </c>
    </row>
    <row r="26" spans="1:37" x14ac:dyDescent="0.3">
      <c r="A26">
        <v>2</v>
      </c>
      <c r="B26">
        <v>0.58707200000000004</v>
      </c>
      <c r="C26">
        <v>0.129606</v>
      </c>
      <c r="D26">
        <v>0.25675399999999998</v>
      </c>
      <c r="E26">
        <v>0.51332199999999994</v>
      </c>
      <c r="F26">
        <v>1.1695800000000001</v>
      </c>
      <c r="G26">
        <v>0.25744400000000001</v>
      </c>
      <c r="H26">
        <v>0.51160099999999997</v>
      </c>
      <c r="I26">
        <v>1.0261</v>
      </c>
      <c r="J26">
        <v>2.3580299999999998</v>
      </c>
      <c r="K26">
        <v>0.510158</v>
      </c>
      <c r="L26">
        <v>1.02528</v>
      </c>
      <c r="M26">
        <v>2.0467399999999998</v>
      </c>
      <c r="N26">
        <v>0.90107000000000004</v>
      </c>
      <c r="O26">
        <v>0.20067099999999999</v>
      </c>
      <c r="P26">
        <v>0.39113599999999998</v>
      </c>
      <c r="Q26">
        <v>0.78290499999999996</v>
      </c>
      <c r="R26">
        <v>1.8416300000000001</v>
      </c>
      <c r="S26">
        <v>0.39240599999999998</v>
      </c>
      <c r="T26">
        <v>0.77921200000000002</v>
      </c>
      <c r="U26">
        <v>1.56297</v>
      </c>
      <c r="V26">
        <v>3.6274999999999999</v>
      </c>
      <c r="W26">
        <v>0.78380499999999997</v>
      </c>
      <c r="X26">
        <v>1.5805100000000001</v>
      </c>
      <c r="Y26">
        <v>3.1321400000000001</v>
      </c>
      <c r="Z26">
        <v>1.21217</v>
      </c>
      <c r="AA26">
        <v>0.26180399999999998</v>
      </c>
      <c r="AB26">
        <v>0.52234400000000003</v>
      </c>
      <c r="AC26">
        <v>1.0498499999999999</v>
      </c>
      <c r="AD26">
        <v>2.4530599999999998</v>
      </c>
      <c r="AE26">
        <v>0.53081400000000001</v>
      </c>
      <c r="AF26">
        <v>1.0654300000000001</v>
      </c>
      <c r="AG26">
        <v>2.0993900000000001</v>
      </c>
      <c r="AH26">
        <v>4.86503</v>
      </c>
      <c r="AI26">
        <v>1.04478</v>
      </c>
      <c r="AJ26">
        <v>2.0815899999999998</v>
      </c>
      <c r="AK26">
        <v>4.23217</v>
      </c>
    </row>
    <row r="27" spans="1:37" x14ac:dyDescent="0.3">
      <c r="A27">
        <v>3</v>
      </c>
      <c r="B27">
        <v>0.58524500000000002</v>
      </c>
      <c r="C27">
        <v>0.128363</v>
      </c>
      <c r="D27">
        <v>0.25783</v>
      </c>
      <c r="E27">
        <v>0.51072200000000001</v>
      </c>
      <c r="F27">
        <v>1.1676800000000001</v>
      </c>
      <c r="G27">
        <v>0.25578899999999999</v>
      </c>
      <c r="H27">
        <v>0.51057399999999997</v>
      </c>
      <c r="I27">
        <v>1.0183500000000001</v>
      </c>
      <c r="J27">
        <v>2.3407900000000001</v>
      </c>
      <c r="K27">
        <v>0.511181</v>
      </c>
      <c r="L27">
        <v>1.02075</v>
      </c>
      <c r="M27">
        <v>2.0287500000000001</v>
      </c>
      <c r="N27">
        <v>0.90373400000000004</v>
      </c>
      <c r="O27">
        <v>0.194608</v>
      </c>
      <c r="P27">
        <v>0.396677</v>
      </c>
      <c r="Q27">
        <v>0.77365799999999996</v>
      </c>
      <c r="R27">
        <v>1.7867200000000001</v>
      </c>
      <c r="S27">
        <v>0.39678799999999997</v>
      </c>
      <c r="T27">
        <v>0.78478599999999998</v>
      </c>
      <c r="U27">
        <v>1.5587899999999999</v>
      </c>
      <c r="V27">
        <v>3.5694699999999999</v>
      </c>
      <c r="W27">
        <v>0.77543300000000004</v>
      </c>
      <c r="X27">
        <v>1.5535600000000001</v>
      </c>
      <c r="Y27">
        <v>3.1744699999999999</v>
      </c>
      <c r="Z27">
        <v>1.21387</v>
      </c>
      <c r="AA27">
        <v>0.26139200000000001</v>
      </c>
      <c r="AB27">
        <v>0.52106600000000003</v>
      </c>
      <c r="AC27">
        <v>1.05833</v>
      </c>
      <c r="AD27">
        <v>2.40083</v>
      </c>
      <c r="AE27">
        <v>0.53048700000000004</v>
      </c>
      <c r="AF27">
        <v>1.0400799999999999</v>
      </c>
      <c r="AG27">
        <v>2.1016900000000001</v>
      </c>
      <c r="AH27">
        <v>4.7695600000000002</v>
      </c>
      <c r="AI27">
        <v>1.0396099999999999</v>
      </c>
      <c r="AJ27">
        <v>2.09979</v>
      </c>
      <c r="AK27">
        <v>4.2009800000000004</v>
      </c>
    </row>
    <row r="28" spans="1:37" x14ac:dyDescent="0.3">
      <c r="A28">
        <v>4</v>
      </c>
      <c r="B28">
        <v>0.58768900000000002</v>
      </c>
      <c r="C28">
        <v>0.12843399999999999</v>
      </c>
      <c r="D28">
        <v>0.25659500000000002</v>
      </c>
      <c r="E28">
        <v>0.51044299999999998</v>
      </c>
      <c r="F28">
        <v>1.173</v>
      </c>
      <c r="G28">
        <v>0.25664300000000001</v>
      </c>
      <c r="H28">
        <v>0.51548400000000005</v>
      </c>
      <c r="I28">
        <v>1.0223</v>
      </c>
      <c r="J28">
        <v>2.3330700000000002</v>
      </c>
      <c r="K28">
        <v>0.51134100000000005</v>
      </c>
      <c r="L28">
        <v>1.0208900000000001</v>
      </c>
      <c r="M28">
        <v>2.0358299999999998</v>
      </c>
      <c r="N28">
        <v>0.90104799999999996</v>
      </c>
      <c r="O28">
        <v>0.197102</v>
      </c>
      <c r="P28">
        <v>0.39155699999999999</v>
      </c>
      <c r="Q28">
        <v>0.78305100000000005</v>
      </c>
      <c r="R28">
        <v>1.8092999999999999</v>
      </c>
      <c r="S28">
        <v>0.39037899999999998</v>
      </c>
      <c r="T28">
        <v>0.78285300000000002</v>
      </c>
      <c r="U28">
        <v>1.5634399999999999</v>
      </c>
      <c r="V28">
        <v>3.6182300000000001</v>
      </c>
      <c r="W28">
        <v>0.77939999999999998</v>
      </c>
      <c r="X28">
        <v>1.5555300000000001</v>
      </c>
      <c r="Y28">
        <v>3.12602</v>
      </c>
      <c r="Z28">
        <v>1.2167399999999999</v>
      </c>
      <c r="AA28">
        <v>0.264017</v>
      </c>
      <c r="AB28">
        <v>0.53055300000000005</v>
      </c>
      <c r="AC28">
        <v>1.0642100000000001</v>
      </c>
      <c r="AD28">
        <v>2.4026800000000001</v>
      </c>
      <c r="AE28">
        <v>0.53128799999999998</v>
      </c>
      <c r="AF28">
        <v>1.03827</v>
      </c>
      <c r="AG28">
        <v>2.0949200000000001</v>
      </c>
      <c r="AH28">
        <v>4.8046800000000003</v>
      </c>
      <c r="AI28">
        <v>1.05325</v>
      </c>
      <c r="AJ28">
        <v>2.0864600000000002</v>
      </c>
      <c r="AK28">
        <v>4.2525899999999996</v>
      </c>
    </row>
    <row r="29" spans="1:37" x14ac:dyDescent="0.3">
      <c r="A29" t="s">
        <v>17</v>
      </c>
      <c r="D29" t="s">
        <v>18</v>
      </c>
      <c r="H29" t="s">
        <v>18</v>
      </c>
      <c r="L29" t="s">
        <v>18</v>
      </c>
      <c r="P29" t="s">
        <v>18</v>
      </c>
      <c r="T29" t="s">
        <v>18</v>
      </c>
      <c r="X29" t="s">
        <v>18</v>
      </c>
      <c r="AB29" t="s">
        <v>18</v>
      </c>
      <c r="AF29" t="s">
        <v>18</v>
      </c>
      <c r="AJ29" t="s">
        <v>18</v>
      </c>
    </row>
    <row r="30" spans="1:37" x14ac:dyDescent="0.3">
      <c r="B30">
        <f>A$43/B26</f>
        <v>4.295452687234274</v>
      </c>
      <c r="E30">
        <f>B30/$A26</f>
        <v>2.147726343617137</v>
      </c>
      <c r="F30">
        <f t="shared" ref="F30" si="41">E$43/F26</f>
        <v>4.3067789291882557</v>
      </c>
      <c r="I30">
        <f t="shared" ref="I30:I32" si="42">F30/$A26</f>
        <v>2.1533894645941278</v>
      </c>
      <c r="J30">
        <f t="shared" ref="J30" si="43">I$43/J26</f>
        <v>4.2816779260654023</v>
      </c>
      <c r="M30">
        <f t="shared" ref="M30:M32" si="44">J30/$A26</f>
        <v>2.1408389630327012</v>
      </c>
      <c r="N30">
        <f t="shared" ref="N30" si="45">M$43/N26</f>
        <v>3.9699634878533296</v>
      </c>
      <c r="Q30">
        <f t="shared" ref="Q30:Q32" si="46">N30/$A26</f>
        <v>1.9849817439266648</v>
      </c>
      <c r="R30">
        <f t="shared" ref="R30" si="47">Q$43/R26</f>
        <v>3.9125448651466366</v>
      </c>
      <c r="U30">
        <f t="shared" ref="U30:U32" si="48">R30/$A26</f>
        <v>1.9562724325733183</v>
      </c>
      <c r="V30">
        <f t="shared" ref="V30" si="49">U$43/V26</f>
        <v>3.924162646450724</v>
      </c>
      <c r="Y30">
        <f t="shared" ref="Y30:Y32" si="50">V30/$A26</f>
        <v>1.962081323225362</v>
      </c>
      <c r="Z30">
        <f t="shared" ref="Z30" si="51">Y$43/Z26</f>
        <v>3.7486893340043066</v>
      </c>
      <c r="AC30">
        <f t="shared" ref="AC30:AC32" si="52">Z30/$A26</f>
        <v>1.8743446670021533</v>
      </c>
      <c r="AD30">
        <f t="shared" ref="AD30" si="53">AC$43/AD26</f>
        <v>7.3460188499262138</v>
      </c>
      <c r="AG30">
        <f t="shared" ref="AG30:AG32" si="54">AD30/$A26</f>
        <v>3.6730094249631069</v>
      </c>
      <c r="AH30">
        <f t="shared" ref="AH30" si="55">AG$43/AH26</f>
        <v>1.8523369845612463</v>
      </c>
      <c r="AK30">
        <f t="shared" ref="AK30:AK32" si="56">AH30/$A26</f>
        <v>0.92616849228062315</v>
      </c>
    </row>
    <row r="31" spans="1:37" x14ac:dyDescent="0.3">
      <c r="B31">
        <f>A$43/B27</f>
        <v>4.3088621004878291</v>
      </c>
      <c r="E31">
        <f>B31/$A27</f>
        <v>1.4362873668292764</v>
      </c>
      <c r="F31">
        <f t="shared" ref="F31" si="57">E$43/F27</f>
        <v>4.3137867395176768</v>
      </c>
      <c r="I31">
        <f t="shared" si="42"/>
        <v>1.437928913172559</v>
      </c>
      <c r="J31">
        <f t="shared" ref="J31" si="58">I$43/J27</f>
        <v>4.3132126333417347</v>
      </c>
      <c r="M31">
        <f t="shared" si="44"/>
        <v>1.4377375444472449</v>
      </c>
      <c r="N31">
        <f t="shared" ref="N31" si="59">M$43/N27</f>
        <v>3.958260948464924</v>
      </c>
      <c r="Q31">
        <f t="shared" si="46"/>
        <v>1.3194203161549747</v>
      </c>
      <c r="R31">
        <f t="shared" ref="R31" si="60">Q$43/R27</f>
        <v>4.0327863347362767</v>
      </c>
      <c r="U31">
        <f t="shared" si="48"/>
        <v>1.344262111578759</v>
      </c>
      <c r="V31">
        <f t="shared" ref="V31" si="61">U$43/V27</f>
        <v>3.9879589967137985</v>
      </c>
      <c r="Y31">
        <f t="shared" si="50"/>
        <v>1.3293196655712662</v>
      </c>
      <c r="Z31">
        <f t="shared" ref="Z31" si="62">Y$43/Z27</f>
        <v>3.743439371596629</v>
      </c>
      <c r="AC31">
        <f t="shared" si="52"/>
        <v>1.247813123865543</v>
      </c>
      <c r="AD31">
        <f t="shared" ref="AD31" si="63">AC$43/AD27</f>
        <v>7.5058313166696502</v>
      </c>
      <c r="AG31">
        <f t="shared" si="54"/>
        <v>2.5019437722232167</v>
      </c>
      <c r="AH31">
        <f t="shared" ref="AH31" si="64">AG$43/AH27</f>
        <v>1.8894143275270674</v>
      </c>
      <c r="AK31">
        <f t="shared" si="56"/>
        <v>0.62980477584235584</v>
      </c>
    </row>
    <row r="32" spans="1:37" x14ac:dyDescent="0.3">
      <c r="B32">
        <f>A$43/B28</f>
        <v>4.2909429987629508</v>
      </c>
      <c r="E32">
        <f>B32/$A28</f>
        <v>1.0727357496907377</v>
      </c>
      <c r="F32">
        <f t="shared" ref="F32" si="65">E$43/F28</f>
        <v>4.2942220801364028</v>
      </c>
      <c r="I32">
        <f t="shared" si="42"/>
        <v>1.0735555200341007</v>
      </c>
      <c r="J32">
        <f t="shared" ref="J32" si="66">I$43/J28</f>
        <v>4.327484816143536</v>
      </c>
      <c r="M32">
        <f t="shared" si="44"/>
        <v>1.081871204035884</v>
      </c>
      <c r="N32">
        <f t="shared" ref="N32" si="67">M$43/N28</f>
        <v>3.9700604185348616</v>
      </c>
      <c r="Q32">
        <f t="shared" si="46"/>
        <v>0.99251510463371539</v>
      </c>
      <c r="R32">
        <f t="shared" ref="R32" si="68">Q$43/R28</f>
        <v>3.9824573039296971</v>
      </c>
      <c r="U32">
        <f t="shared" si="48"/>
        <v>0.99561432598242428</v>
      </c>
      <c r="V32">
        <f t="shared" ref="V32" si="69">U$43/V28</f>
        <v>3.9342164539014934</v>
      </c>
      <c r="Y32">
        <f t="shared" si="50"/>
        <v>0.98355411347537336</v>
      </c>
      <c r="Z32">
        <f t="shared" ref="Z32" si="70">Y$43/Z28</f>
        <v>3.7346094892910564</v>
      </c>
      <c r="AC32">
        <f t="shared" si="52"/>
        <v>0.9336523723227641</v>
      </c>
      <c r="AD32">
        <f t="shared" ref="AD32" si="71">AC$43/AD28</f>
        <v>7.5000520252384817</v>
      </c>
      <c r="AG32">
        <f t="shared" si="54"/>
        <v>1.8750130063096204</v>
      </c>
      <c r="AH32">
        <f t="shared" ref="AH32" si="72">AG$43/AH28</f>
        <v>1.8756035781779432</v>
      </c>
      <c r="AK32">
        <f t="shared" si="56"/>
        <v>0.4689008945444858</v>
      </c>
    </row>
    <row r="42" spans="1:34" x14ac:dyDescent="0.3">
      <c r="B42" t="s">
        <v>16</v>
      </c>
      <c r="F42" t="s">
        <v>16</v>
      </c>
      <c r="J42" t="s">
        <v>16</v>
      </c>
      <c r="N42" t="s">
        <v>16</v>
      </c>
      <c r="R42" t="s">
        <v>16</v>
      </c>
      <c r="V42" t="s">
        <v>16</v>
      </c>
      <c r="Z42" t="s">
        <v>16</v>
      </c>
      <c r="AD42" t="s">
        <v>16</v>
      </c>
      <c r="AH42" t="s">
        <v>16</v>
      </c>
    </row>
    <row r="43" spans="1:34" x14ac:dyDescent="0.3">
      <c r="A43">
        <f>SUM(B43:B50)/COUNT(B43:B50)</f>
        <v>2.5217399999999999</v>
      </c>
      <c r="B43">
        <v>2.5295299999999998</v>
      </c>
      <c r="E43">
        <f>SUM(F43:F50)/COUNT(F43:F50)</f>
        <v>5.0371225000000006</v>
      </c>
      <c r="F43">
        <v>5.0436100000000001</v>
      </c>
      <c r="I43">
        <f>SUM(J43:J50)/COUNT(J43:J50)</f>
        <v>10.096325</v>
      </c>
      <c r="J43">
        <v>10.0618</v>
      </c>
      <c r="M43">
        <f>SUM(N43:N50)/COUNT(N43:N50)</f>
        <v>3.5772149999999998</v>
      </c>
      <c r="N43" s="1">
        <v>3.6369699999999998</v>
      </c>
      <c r="Q43">
        <f>SUM(R43:R50)/COUNT(R43:R50)</f>
        <v>7.2054600000000004</v>
      </c>
      <c r="R43">
        <v>7.1834899999999999</v>
      </c>
      <c r="U43">
        <f>SUM(V43:V50)/COUNT(V43:V50)</f>
        <v>14.234900000000001</v>
      </c>
      <c r="V43" s="1">
        <v>14.2403</v>
      </c>
      <c r="Y43">
        <f>SUM(Z43:Z50)/COUNT(Z43:Z50)</f>
        <v>4.54404875</v>
      </c>
      <c r="Z43">
        <v>4.5420999999999996</v>
      </c>
      <c r="AC43">
        <f>SUM(AD43:AD50)/COUNT(AD43:AD50)</f>
        <v>18.020224999999996</v>
      </c>
      <c r="AD43">
        <v>18.021999999999998</v>
      </c>
      <c r="AG43">
        <f>SUM(AH43:AH50)/COUNT(AH43:AH50)</f>
        <v>9.0116750000000003</v>
      </c>
      <c r="AH43">
        <v>8.9351400000000005</v>
      </c>
    </row>
    <row r="44" spans="1:34" x14ac:dyDescent="0.3">
      <c r="B44">
        <v>2.5156999999999998</v>
      </c>
      <c r="F44">
        <v>5.0271999999999997</v>
      </c>
      <c r="J44">
        <v>10.058299999999999</v>
      </c>
      <c r="N44" s="1">
        <v>3.5848300000000002</v>
      </c>
      <c r="R44">
        <v>7.18065</v>
      </c>
      <c r="V44" s="1">
        <v>14.3322</v>
      </c>
      <c r="Z44">
        <v>4.5202200000000001</v>
      </c>
      <c r="AD44">
        <v>18.4009</v>
      </c>
      <c r="AH44">
        <v>9.0086300000000001</v>
      </c>
    </row>
    <row r="45" spans="1:34" x14ac:dyDescent="0.3">
      <c r="B45">
        <v>2.5215999999999998</v>
      </c>
      <c r="F45">
        <v>5.0389600000000003</v>
      </c>
      <c r="J45">
        <v>10.0975</v>
      </c>
      <c r="N45" s="1">
        <v>3.5085999999999999</v>
      </c>
      <c r="R45">
        <v>7.0392000000000001</v>
      </c>
      <c r="V45" s="1">
        <v>14.036799999999999</v>
      </c>
      <c r="Z45">
        <v>4.5173300000000003</v>
      </c>
      <c r="AD45">
        <v>18.0732</v>
      </c>
      <c r="AH45">
        <v>9.0007099999999998</v>
      </c>
    </row>
    <row r="46" spans="1:34" x14ac:dyDescent="0.3">
      <c r="B46">
        <v>2.5219999999999998</v>
      </c>
      <c r="F46">
        <v>5.0452199999999996</v>
      </c>
      <c r="J46">
        <v>10.0867</v>
      </c>
      <c r="N46" s="1">
        <v>3.6620300000000001</v>
      </c>
      <c r="R46">
        <v>7.1899899999999999</v>
      </c>
      <c r="V46" s="1">
        <v>14.0467</v>
      </c>
      <c r="Z46">
        <v>4.6366199999999997</v>
      </c>
      <c r="AD46">
        <v>17.805599999999998</v>
      </c>
      <c r="AH46">
        <v>8.95092</v>
      </c>
    </row>
    <row r="47" spans="1:34" x14ac:dyDescent="0.3">
      <c r="B47">
        <v>2.5099399999999998</v>
      </c>
      <c r="F47">
        <v>5.03573</v>
      </c>
      <c r="J47">
        <v>10.064500000000001</v>
      </c>
      <c r="N47" s="1">
        <v>3.5236800000000001</v>
      </c>
      <c r="R47">
        <v>7.24024</v>
      </c>
      <c r="V47" s="1">
        <v>14.202400000000001</v>
      </c>
      <c r="Z47">
        <v>4.5528700000000004</v>
      </c>
      <c r="AD47">
        <v>17.929099999999998</v>
      </c>
      <c r="AH47">
        <v>8.9785000000000004</v>
      </c>
    </row>
    <row r="48" spans="1:34" x14ac:dyDescent="0.3">
      <c r="B48">
        <v>2.52196</v>
      </c>
      <c r="F48">
        <v>5.0329800000000002</v>
      </c>
      <c r="J48">
        <v>10.154999999999999</v>
      </c>
      <c r="N48" s="1">
        <v>3.5384000000000002</v>
      </c>
      <c r="R48">
        <v>7.2378600000000004</v>
      </c>
      <c r="V48" s="1">
        <v>14.1534</v>
      </c>
      <c r="Z48">
        <v>4.4988999999999999</v>
      </c>
      <c r="AD48">
        <v>18.0486</v>
      </c>
      <c r="AH48">
        <v>8.9383599999999994</v>
      </c>
    </row>
    <row r="49" spans="2:34" x14ac:dyDescent="0.3">
      <c r="B49">
        <v>2.5272100000000002</v>
      </c>
      <c r="F49">
        <v>5.0310800000000002</v>
      </c>
      <c r="J49">
        <v>10.1198</v>
      </c>
      <c r="N49" s="1">
        <v>3.57131</v>
      </c>
      <c r="R49">
        <v>7.2344499999999998</v>
      </c>
      <c r="V49" s="1">
        <v>14.1785</v>
      </c>
      <c r="Z49">
        <v>4.4788300000000003</v>
      </c>
      <c r="AD49">
        <v>17.874300000000002</v>
      </c>
      <c r="AH49">
        <v>9.2505400000000009</v>
      </c>
    </row>
    <row r="50" spans="2:34" x14ac:dyDescent="0.3">
      <c r="B50">
        <v>2.5259800000000001</v>
      </c>
      <c r="F50">
        <v>5.0422000000000002</v>
      </c>
      <c r="J50">
        <v>10.127000000000001</v>
      </c>
      <c r="N50" s="1">
        <v>3.5918999999999999</v>
      </c>
      <c r="R50">
        <v>7.3377999999999997</v>
      </c>
      <c r="V50" s="1">
        <v>14.6889</v>
      </c>
      <c r="Z50">
        <v>4.6055200000000003</v>
      </c>
      <c r="AD50">
        <v>18.008099999999999</v>
      </c>
      <c r="AH50">
        <v>9.0305999999999997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Tan</dc:creator>
  <cp:lastModifiedBy>Brady Tan</cp:lastModifiedBy>
  <dcterms:created xsi:type="dcterms:W3CDTF">2026-04-14T13:07:06Z</dcterms:created>
  <dcterms:modified xsi:type="dcterms:W3CDTF">2026-04-15T14:27:37Z</dcterms:modified>
</cp:coreProperties>
</file>