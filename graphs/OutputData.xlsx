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2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3.xml" ContentType="application/vnd.openxmlformats-officedocument.themeOverrid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5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6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312910d6933b16/Documents/"/>
    </mc:Choice>
  </mc:AlternateContent>
  <xr:revisionPtr revIDLastSave="249" documentId="8_{EAC659B9-ADFE-43BF-8B20-418095EDB662}" xr6:coauthVersionLast="47" xr6:coauthVersionMax="47" xr10:uidLastSave="{24735018-6FF6-4BED-9B11-364B4440CA25}"/>
  <bookViews>
    <workbookView xWindow="-108" yWindow="-108" windowWidth="23256" windowHeight="12576" tabRatio="606" activeTab="3" xr2:uid="{21B1EE82-FC8F-4EF9-8A79-8177750353C2}"/>
  </bookViews>
  <sheets>
    <sheet name="K2 E25" sheetId="148" r:id="rId1"/>
    <sheet name="K2 E50" sheetId="149" r:id="rId2"/>
    <sheet name="K2 E100" sheetId="142" r:id="rId3"/>
    <sheet name="K4 E25" sheetId="90" r:id="rId4"/>
    <sheet name="Temp" sheetId="126" r:id="rId5"/>
    <sheet name="Temp (6)" sheetId="14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149" l="1"/>
  <c r="B2" i="149" s="1"/>
  <c r="C2" i="149" s="1"/>
  <c r="A23" i="148"/>
  <c r="B2" i="148" s="1"/>
  <c r="C2" i="148" s="1"/>
  <c r="A23" i="146"/>
  <c r="T15" i="146" s="1"/>
  <c r="B17" i="146"/>
  <c r="C17" i="146" s="1"/>
  <c r="AG16" i="146"/>
  <c r="AF16" i="146"/>
  <c r="AF15" i="146"/>
  <c r="AG15" i="146" s="1"/>
  <c r="AA15" i="146"/>
  <c r="Z15" i="146"/>
  <c r="B15" i="146"/>
  <c r="C15" i="146" s="1"/>
  <c r="Z14" i="146"/>
  <c r="AA14" i="146" s="1"/>
  <c r="T14" i="146"/>
  <c r="N14" i="146"/>
  <c r="AF13" i="146"/>
  <c r="AG13" i="146" s="1"/>
  <c r="T13" i="146"/>
  <c r="N13" i="146"/>
  <c r="I13" i="146"/>
  <c r="H13" i="146"/>
  <c r="Z12" i="146"/>
  <c r="AA12" i="146" s="1"/>
  <c r="I12" i="146"/>
  <c r="H12" i="146"/>
  <c r="C12" i="146"/>
  <c r="B12" i="146"/>
  <c r="N11" i="146"/>
  <c r="C11" i="146"/>
  <c r="B11" i="146"/>
  <c r="AG10" i="146"/>
  <c r="AF10" i="146"/>
  <c r="H10" i="146"/>
  <c r="I10" i="146" s="1"/>
  <c r="AF9" i="146"/>
  <c r="AG9" i="146" s="1"/>
  <c r="AA9" i="146"/>
  <c r="Z9" i="146"/>
  <c r="B9" i="146"/>
  <c r="C9" i="146" s="1"/>
  <c r="Z8" i="146"/>
  <c r="AA8" i="146" s="1"/>
  <c r="T8" i="146"/>
  <c r="N8" i="146"/>
  <c r="AF7" i="146"/>
  <c r="AG7" i="146" s="1"/>
  <c r="T7" i="146"/>
  <c r="N7" i="146"/>
  <c r="I7" i="146"/>
  <c r="H7" i="146"/>
  <c r="Z6" i="146"/>
  <c r="AA6" i="146" s="1"/>
  <c r="H6" i="146"/>
  <c r="I6" i="146" s="1"/>
  <c r="C6" i="146"/>
  <c r="B6" i="146"/>
  <c r="N5" i="146"/>
  <c r="B5" i="146"/>
  <c r="C5" i="146" s="1"/>
  <c r="AG4" i="146"/>
  <c r="AF4" i="146"/>
  <c r="H4" i="146"/>
  <c r="I4" i="146" s="1"/>
  <c r="AF3" i="146"/>
  <c r="AG3" i="146" s="1"/>
  <c r="AA3" i="146"/>
  <c r="Z3" i="146"/>
  <c r="B3" i="146"/>
  <c r="C3" i="146" s="1"/>
  <c r="Z2" i="146"/>
  <c r="AA2" i="146" s="1"/>
  <c r="T2" i="146"/>
  <c r="N2" i="146"/>
  <c r="A23" i="142"/>
  <c r="T15" i="142" s="1"/>
  <c r="H7" i="142"/>
  <c r="I7" i="142" s="1"/>
  <c r="AF4" i="142"/>
  <c r="AG4" i="142" s="1"/>
  <c r="A23" i="126"/>
  <c r="A23" i="90"/>
  <c r="AF17" i="126"/>
  <c r="AG17" i="126" s="1"/>
  <c r="Z17" i="126"/>
  <c r="AA17" i="126" s="1"/>
  <c r="T17" i="126"/>
  <c r="N17" i="126"/>
  <c r="H17" i="126"/>
  <c r="I17" i="126" s="1"/>
  <c r="B17" i="126"/>
  <c r="C17" i="126" s="1"/>
  <c r="AF16" i="126"/>
  <c r="AG16" i="126" s="1"/>
  <c r="Z16" i="126"/>
  <c r="AA16" i="126" s="1"/>
  <c r="T16" i="126"/>
  <c r="N16" i="126"/>
  <c r="H16" i="126"/>
  <c r="I16" i="126" s="1"/>
  <c r="B16" i="126"/>
  <c r="C16" i="126" s="1"/>
  <c r="AF15" i="126"/>
  <c r="AG15" i="126" s="1"/>
  <c r="Z15" i="126"/>
  <c r="AA15" i="126" s="1"/>
  <c r="T15" i="126"/>
  <c r="N15" i="126"/>
  <c r="I15" i="126"/>
  <c r="H15" i="126"/>
  <c r="B15" i="126"/>
  <c r="C15" i="126" s="1"/>
  <c r="AF14" i="126"/>
  <c r="AG14" i="126" s="1"/>
  <c r="Z14" i="126"/>
  <c r="AA14" i="126" s="1"/>
  <c r="T14" i="126"/>
  <c r="N14" i="126"/>
  <c r="H14" i="126"/>
  <c r="I14" i="126" s="1"/>
  <c r="C14" i="126"/>
  <c r="B14" i="126"/>
  <c r="AF13" i="126"/>
  <c r="AG13" i="126" s="1"/>
  <c r="Z13" i="126"/>
  <c r="AA13" i="126" s="1"/>
  <c r="T13" i="126"/>
  <c r="N13" i="126"/>
  <c r="H13" i="126"/>
  <c r="I13" i="126" s="1"/>
  <c r="B13" i="126"/>
  <c r="C13" i="126" s="1"/>
  <c r="AG12" i="126"/>
  <c r="AF12" i="126"/>
  <c r="Z12" i="126"/>
  <c r="AA12" i="126" s="1"/>
  <c r="T12" i="126"/>
  <c r="N12" i="126"/>
  <c r="H12" i="126"/>
  <c r="I12" i="126" s="1"/>
  <c r="B12" i="126"/>
  <c r="C12" i="126" s="1"/>
  <c r="AF11" i="126"/>
  <c r="AG11" i="126" s="1"/>
  <c r="AA11" i="126"/>
  <c r="Z11" i="126"/>
  <c r="T11" i="126"/>
  <c r="N11" i="126"/>
  <c r="H11" i="126"/>
  <c r="I11" i="126" s="1"/>
  <c r="B11" i="126"/>
  <c r="C11" i="126" s="1"/>
  <c r="AF10" i="126"/>
  <c r="AG10" i="126" s="1"/>
  <c r="Z10" i="126"/>
  <c r="AA10" i="126" s="1"/>
  <c r="T10" i="126"/>
  <c r="N10" i="126"/>
  <c r="H10" i="126"/>
  <c r="I10" i="126" s="1"/>
  <c r="B10" i="126"/>
  <c r="C10" i="126" s="1"/>
  <c r="AF9" i="126"/>
  <c r="AG9" i="126" s="1"/>
  <c r="Z9" i="126"/>
  <c r="AA9" i="126" s="1"/>
  <c r="T9" i="126"/>
  <c r="N9" i="126"/>
  <c r="I9" i="126"/>
  <c r="H9" i="126"/>
  <c r="B9" i="126"/>
  <c r="C9" i="126" s="1"/>
  <c r="AF8" i="126"/>
  <c r="AG8" i="126" s="1"/>
  <c r="Z8" i="126"/>
  <c r="AA8" i="126" s="1"/>
  <c r="T8" i="126"/>
  <c r="N8" i="126"/>
  <c r="H8" i="126"/>
  <c r="I8" i="126" s="1"/>
  <c r="C8" i="126"/>
  <c r="B8" i="126"/>
  <c r="AF7" i="126"/>
  <c r="AG7" i="126" s="1"/>
  <c r="Z7" i="126"/>
  <c r="AA7" i="126" s="1"/>
  <c r="T7" i="126"/>
  <c r="N7" i="126"/>
  <c r="H7" i="126"/>
  <c r="I7" i="126" s="1"/>
  <c r="B7" i="126"/>
  <c r="C7" i="126" s="1"/>
  <c r="AG6" i="126"/>
  <c r="AF6" i="126"/>
  <c r="Z6" i="126"/>
  <c r="AA6" i="126" s="1"/>
  <c r="T6" i="126"/>
  <c r="N6" i="126"/>
  <c r="H6" i="126"/>
  <c r="I6" i="126" s="1"/>
  <c r="B6" i="126"/>
  <c r="C6" i="126" s="1"/>
  <c r="AF5" i="126"/>
  <c r="AG5" i="126" s="1"/>
  <c r="AA5" i="126"/>
  <c r="Z5" i="126"/>
  <c r="T5" i="126"/>
  <c r="N5" i="126"/>
  <c r="H5" i="126"/>
  <c r="I5" i="126" s="1"/>
  <c r="B5" i="126"/>
  <c r="C5" i="126" s="1"/>
  <c r="AF4" i="126"/>
  <c r="AG4" i="126" s="1"/>
  <c r="Z4" i="126"/>
  <c r="AA4" i="126" s="1"/>
  <c r="T4" i="126"/>
  <c r="N4" i="126"/>
  <c r="H4" i="126"/>
  <c r="I4" i="126" s="1"/>
  <c r="B4" i="126"/>
  <c r="C4" i="126" s="1"/>
  <c r="AF3" i="126"/>
  <c r="AG3" i="126" s="1"/>
  <c r="Z3" i="126"/>
  <c r="AA3" i="126" s="1"/>
  <c r="T3" i="126"/>
  <c r="N3" i="126"/>
  <c r="I3" i="126"/>
  <c r="H3" i="126"/>
  <c r="B3" i="126"/>
  <c r="C3" i="126" s="1"/>
  <c r="AF2" i="126"/>
  <c r="AG2" i="126" s="1"/>
  <c r="Z2" i="126"/>
  <c r="AA2" i="126" s="1"/>
  <c r="T2" i="126"/>
  <c r="N2" i="126"/>
  <c r="H2" i="126"/>
  <c r="I2" i="126" s="1"/>
  <c r="C2" i="126"/>
  <c r="B2" i="126"/>
  <c r="N5" i="149" l="1"/>
  <c r="B3" i="149"/>
  <c r="C3" i="149" s="1"/>
  <c r="AF13" i="149"/>
  <c r="AG13" i="149" s="1"/>
  <c r="Z12" i="149"/>
  <c r="AA12" i="149" s="1"/>
  <c r="N11" i="149"/>
  <c r="H10" i="149"/>
  <c r="I10" i="149" s="1"/>
  <c r="B9" i="149"/>
  <c r="C9" i="149" s="1"/>
  <c r="AF7" i="149"/>
  <c r="AG7" i="149" s="1"/>
  <c r="Z6" i="149"/>
  <c r="AA6" i="149" s="1"/>
  <c r="H4" i="149"/>
  <c r="I4" i="149" s="1"/>
  <c r="N17" i="149"/>
  <c r="H16" i="149"/>
  <c r="I16" i="149" s="1"/>
  <c r="N2" i="149"/>
  <c r="B15" i="149"/>
  <c r="C15" i="149" s="1"/>
  <c r="T17" i="149"/>
  <c r="T11" i="149"/>
  <c r="T5" i="149"/>
  <c r="T12" i="149"/>
  <c r="T6" i="149"/>
  <c r="B16" i="149"/>
  <c r="C16" i="149" s="1"/>
  <c r="Z13" i="149"/>
  <c r="AA13" i="149" s="1"/>
  <c r="H11" i="149"/>
  <c r="I11" i="149" s="1"/>
  <c r="AF8" i="149"/>
  <c r="AG8" i="149" s="1"/>
  <c r="N6" i="149"/>
  <c r="H5" i="149"/>
  <c r="I5" i="149" s="1"/>
  <c r="AF2" i="149"/>
  <c r="AG2" i="149" s="1"/>
  <c r="AF14" i="149"/>
  <c r="AG14" i="149" s="1"/>
  <c r="N12" i="149"/>
  <c r="B10" i="149"/>
  <c r="C10" i="149" s="1"/>
  <c r="Z7" i="149"/>
  <c r="AA7" i="149" s="1"/>
  <c r="B4" i="149"/>
  <c r="C4" i="149" s="1"/>
  <c r="T13" i="149"/>
  <c r="T7" i="149"/>
  <c r="H17" i="149"/>
  <c r="I17" i="149" s="1"/>
  <c r="B17" i="149"/>
  <c r="C17" i="149" s="1"/>
  <c r="AF15" i="149"/>
  <c r="AG15" i="149" s="1"/>
  <c r="Z14" i="149"/>
  <c r="AA14" i="149" s="1"/>
  <c r="N13" i="149"/>
  <c r="H12" i="149"/>
  <c r="I12" i="149" s="1"/>
  <c r="B11" i="149"/>
  <c r="C11" i="149" s="1"/>
  <c r="AF9" i="149"/>
  <c r="AG9" i="149" s="1"/>
  <c r="Z8" i="149"/>
  <c r="AA8" i="149" s="1"/>
  <c r="N7" i="149"/>
  <c r="H6" i="149"/>
  <c r="I6" i="149" s="1"/>
  <c r="B5" i="149"/>
  <c r="C5" i="149" s="1"/>
  <c r="AF3" i="149"/>
  <c r="AG3" i="149" s="1"/>
  <c r="Z2" i="149"/>
  <c r="AA2" i="149" s="1"/>
  <c r="T14" i="149"/>
  <c r="T8" i="149"/>
  <c r="T2" i="149"/>
  <c r="AF16" i="149"/>
  <c r="AG16" i="149" s="1"/>
  <c r="Z15" i="149"/>
  <c r="AA15" i="149" s="1"/>
  <c r="N14" i="149"/>
  <c r="H13" i="149"/>
  <c r="I13" i="149" s="1"/>
  <c r="B12" i="149"/>
  <c r="C12" i="149" s="1"/>
  <c r="AF10" i="149"/>
  <c r="AG10" i="149" s="1"/>
  <c r="Z9" i="149"/>
  <c r="AA9" i="149" s="1"/>
  <c r="N8" i="149"/>
  <c r="H7" i="149"/>
  <c r="I7" i="149" s="1"/>
  <c r="B6" i="149"/>
  <c r="C6" i="149" s="1"/>
  <c r="AF4" i="149"/>
  <c r="AG4" i="149" s="1"/>
  <c r="Z3" i="149"/>
  <c r="AA3" i="149" s="1"/>
  <c r="T15" i="149"/>
  <c r="T9" i="149"/>
  <c r="T3" i="149"/>
  <c r="AF17" i="149"/>
  <c r="AG17" i="149" s="1"/>
  <c r="Z16" i="149"/>
  <c r="AA16" i="149" s="1"/>
  <c r="N15" i="149"/>
  <c r="H14" i="149"/>
  <c r="I14" i="149" s="1"/>
  <c r="B13" i="149"/>
  <c r="C13" i="149" s="1"/>
  <c r="AF11" i="149"/>
  <c r="AG11" i="149" s="1"/>
  <c r="Z10" i="149"/>
  <c r="AA10" i="149" s="1"/>
  <c r="N9" i="149"/>
  <c r="H8" i="149"/>
  <c r="I8" i="149" s="1"/>
  <c r="B7" i="149"/>
  <c r="C7" i="149" s="1"/>
  <c r="AF5" i="149"/>
  <c r="AG5" i="149" s="1"/>
  <c r="Z4" i="149"/>
  <c r="AA4" i="149" s="1"/>
  <c r="N3" i="149"/>
  <c r="H2" i="149"/>
  <c r="I2" i="149" s="1"/>
  <c r="T16" i="149"/>
  <c r="T10" i="149"/>
  <c r="T4" i="149"/>
  <c r="Z17" i="149"/>
  <c r="AA17" i="149" s="1"/>
  <c r="N16" i="149"/>
  <c r="H15" i="149"/>
  <c r="I15" i="149" s="1"/>
  <c r="B14" i="149"/>
  <c r="C14" i="149" s="1"/>
  <c r="AF12" i="149"/>
  <c r="AG12" i="149" s="1"/>
  <c r="Z11" i="149"/>
  <c r="AA11" i="149" s="1"/>
  <c r="N10" i="149"/>
  <c r="H9" i="149"/>
  <c r="I9" i="149" s="1"/>
  <c r="B8" i="149"/>
  <c r="C8" i="149" s="1"/>
  <c r="AF6" i="149"/>
  <c r="AG6" i="149" s="1"/>
  <c r="Z5" i="149"/>
  <c r="AA5" i="149" s="1"/>
  <c r="N4" i="149"/>
  <c r="H3" i="149"/>
  <c r="I3" i="149" s="1"/>
  <c r="B9" i="148"/>
  <c r="C9" i="148" s="1"/>
  <c r="AF7" i="148"/>
  <c r="AG7" i="148" s="1"/>
  <c r="Z6" i="148"/>
  <c r="AA6" i="148" s="1"/>
  <c r="N5" i="148"/>
  <c r="H4" i="148"/>
  <c r="I4" i="148" s="1"/>
  <c r="B3" i="148"/>
  <c r="C3" i="148" s="1"/>
  <c r="AF8" i="148"/>
  <c r="AG8" i="148" s="1"/>
  <c r="Z7" i="148"/>
  <c r="AA7" i="148" s="1"/>
  <c r="N6" i="148"/>
  <c r="H5" i="148"/>
  <c r="I5" i="148" s="1"/>
  <c r="B4" i="148"/>
  <c r="C4" i="148" s="1"/>
  <c r="AF2" i="148"/>
  <c r="AG2" i="148" s="1"/>
  <c r="T7" i="148"/>
  <c r="AF9" i="148"/>
  <c r="AG9" i="148" s="1"/>
  <c r="Z8" i="148"/>
  <c r="AA8" i="148" s="1"/>
  <c r="N7" i="148"/>
  <c r="H6" i="148"/>
  <c r="I6" i="148" s="1"/>
  <c r="B5" i="148"/>
  <c r="C5" i="148" s="1"/>
  <c r="AF3" i="148"/>
  <c r="AG3" i="148" s="1"/>
  <c r="Z2" i="148"/>
  <c r="AA2" i="148" s="1"/>
  <c r="T8" i="148"/>
  <c r="T2" i="148"/>
  <c r="Z9" i="148"/>
  <c r="AA9" i="148" s="1"/>
  <c r="N8" i="148"/>
  <c r="H7" i="148"/>
  <c r="I7" i="148" s="1"/>
  <c r="B6" i="148"/>
  <c r="C6" i="148" s="1"/>
  <c r="AF4" i="148"/>
  <c r="AG4" i="148" s="1"/>
  <c r="Z3" i="148"/>
  <c r="AA3" i="148" s="1"/>
  <c r="N2" i="148"/>
  <c r="T5" i="148"/>
  <c r="T9" i="148"/>
  <c r="T3" i="148"/>
  <c r="N9" i="148"/>
  <c r="H8" i="148"/>
  <c r="I8" i="148" s="1"/>
  <c r="B7" i="148"/>
  <c r="C7" i="148" s="1"/>
  <c r="AF5" i="148"/>
  <c r="AG5" i="148" s="1"/>
  <c r="Z4" i="148"/>
  <c r="AA4" i="148" s="1"/>
  <c r="N3" i="148"/>
  <c r="H2" i="148"/>
  <c r="I2" i="148" s="1"/>
  <c r="T4" i="148"/>
  <c r="T6" i="148"/>
  <c r="H9" i="148"/>
  <c r="I9" i="148" s="1"/>
  <c r="B8" i="148"/>
  <c r="C8" i="148" s="1"/>
  <c r="AF6" i="148"/>
  <c r="AG6" i="148" s="1"/>
  <c r="Z5" i="148"/>
  <c r="AA5" i="148" s="1"/>
  <c r="N4" i="148"/>
  <c r="H3" i="148"/>
  <c r="I3" i="148" s="1"/>
  <c r="Z9" i="142"/>
  <c r="AA9" i="142" s="1"/>
  <c r="AF10" i="142"/>
  <c r="AG10" i="142" s="1"/>
  <c r="B12" i="142"/>
  <c r="C12" i="142" s="1"/>
  <c r="N2" i="142"/>
  <c r="H13" i="142"/>
  <c r="I13" i="142" s="1"/>
  <c r="T2" i="142"/>
  <c r="N14" i="142"/>
  <c r="Z3" i="142"/>
  <c r="AA3" i="142" s="1"/>
  <c r="Z15" i="142"/>
  <c r="AA15" i="142" s="1"/>
  <c r="N4" i="142"/>
  <c r="AF16" i="142"/>
  <c r="AG16" i="142" s="1"/>
  <c r="B6" i="142"/>
  <c r="C6" i="142" s="1"/>
  <c r="N8" i="142"/>
  <c r="T8" i="142"/>
  <c r="AF2" i="146"/>
  <c r="AG2" i="146" s="1"/>
  <c r="B4" i="146"/>
  <c r="C4" i="146" s="1"/>
  <c r="H5" i="146"/>
  <c r="I5" i="146" s="1"/>
  <c r="N6" i="146"/>
  <c r="Z7" i="146"/>
  <c r="AA7" i="146" s="1"/>
  <c r="AF8" i="146"/>
  <c r="AG8" i="146" s="1"/>
  <c r="B10" i="146"/>
  <c r="C10" i="146" s="1"/>
  <c r="H11" i="146"/>
  <c r="I11" i="146" s="1"/>
  <c r="N12" i="146"/>
  <c r="Z13" i="146"/>
  <c r="AA13" i="146" s="1"/>
  <c r="AF14" i="146"/>
  <c r="AG14" i="146" s="1"/>
  <c r="B16" i="146"/>
  <c r="C16" i="146" s="1"/>
  <c r="H17" i="146"/>
  <c r="I17" i="146" s="1"/>
  <c r="T6" i="146"/>
  <c r="T12" i="146"/>
  <c r="H16" i="146"/>
  <c r="I16" i="146" s="1"/>
  <c r="N17" i="146"/>
  <c r="T5" i="146"/>
  <c r="T11" i="146"/>
  <c r="T17" i="146"/>
  <c r="B2" i="146"/>
  <c r="C2" i="146" s="1"/>
  <c r="H3" i="146"/>
  <c r="I3" i="146" s="1"/>
  <c r="N4" i="146"/>
  <c r="Z5" i="146"/>
  <c r="AA5" i="146" s="1"/>
  <c r="AF6" i="146"/>
  <c r="AG6" i="146" s="1"/>
  <c r="B8" i="146"/>
  <c r="C8" i="146" s="1"/>
  <c r="H9" i="146"/>
  <c r="I9" i="146" s="1"/>
  <c r="N10" i="146"/>
  <c r="Z11" i="146"/>
  <c r="AA11" i="146" s="1"/>
  <c r="AF12" i="146"/>
  <c r="AG12" i="146" s="1"/>
  <c r="B14" i="146"/>
  <c r="C14" i="146" s="1"/>
  <c r="H15" i="146"/>
  <c r="I15" i="146" s="1"/>
  <c r="N16" i="146"/>
  <c r="Z17" i="146"/>
  <c r="AA17" i="146" s="1"/>
  <c r="T4" i="146"/>
  <c r="T10" i="146"/>
  <c r="T16" i="146"/>
  <c r="H2" i="146"/>
  <c r="I2" i="146" s="1"/>
  <c r="N3" i="146"/>
  <c r="Z4" i="146"/>
  <c r="AA4" i="146" s="1"/>
  <c r="AF5" i="146"/>
  <c r="AG5" i="146" s="1"/>
  <c r="B7" i="146"/>
  <c r="C7" i="146" s="1"/>
  <c r="H8" i="146"/>
  <c r="I8" i="146" s="1"/>
  <c r="N9" i="146"/>
  <c r="Z10" i="146"/>
  <c r="AA10" i="146" s="1"/>
  <c r="AF11" i="146"/>
  <c r="AG11" i="146" s="1"/>
  <c r="B13" i="146"/>
  <c r="C13" i="146" s="1"/>
  <c r="H14" i="146"/>
  <c r="I14" i="146" s="1"/>
  <c r="N15" i="146"/>
  <c r="Z16" i="146"/>
  <c r="AA16" i="146" s="1"/>
  <c r="AF17" i="146"/>
  <c r="AG17" i="146" s="1"/>
  <c r="T3" i="146"/>
  <c r="T9" i="146"/>
  <c r="Z2" i="142"/>
  <c r="AA2" i="142" s="1"/>
  <c r="AF3" i="142"/>
  <c r="AG3" i="142" s="1"/>
  <c r="B5" i="142"/>
  <c r="C5" i="142" s="1"/>
  <c r="H6" i="142"/>
  <c r="I6" i="142" s="1"/>
  <c r="N7" i="142"/>
  <c r="Z8" i="142"/>
  <c r="AA8" i="142" s="1"/>
  <c r="AF9" i="142"/>
  <c r="AG9" i="142" s="1"/>
  <c r="B11" i="142"/>
  <c r="C11" i="142" s="1"/>
  <c r="H12" i="142"/>
  <c r="I12" i="142" s="1"/>
  <c r="N13" i="142"/>
  <c r="Z14" i="142"/>
  <c r="AA14" i="142" s="1"/>
  <c r="AF15" i="142"/>
  <c r="AG15" i="142" s="1"/>
  <c r="B17" i="142"/>
  <c r="C17" i="142" s="1"/>
  <c r="T7" i="142"/>
  <c r="T13" i="142"/>
  <c r="T14" i="142"/>
  <c r="B4" i="142"/>
  <c r="C4" i="142" s="1"/>
  <c r="H5" i="142"/>
  <c r="I5" i="142" s="1"/>
  <c r="N6" i="142"/>
  <c r="Z7" i="142"/>
  <c r="AA7" i="142" s="1"/>
  <c r="AF8" i="142"/>
  <c r="AG8" i="142" s="1"/>
  <c r="B10" i="142"/>
  <c r="C10" i="142" s="1"/>
  <c r="H11" i="142"/>
  <c r="I11" i="142" s="1"/>
  <c r="N12" i="142"/>
  <c r="Z13" i="142"/>
  <c r="AA13" i="142" s="1"/>
  <c r="AF14" i="142"/>
  <c r="AG14" i="142" s="1"/>
  <c r="B16" i="142"/>
  <c r="C16" i="142" s="1"/>
  <c r="H17" i="142"/>
  <c r="I17" i="142" s="1"/>
  <c r="T6" i="142"/>
  <c r="T12" i="142"/>
  <c r="AF2" i="142"/>
  <c r="AG2" i="142" s="1"/>
  <c r="B3" i="142"/>
  <c r="C3" i="142" s="1"/>
  <c r="H4" i="142"/>
  <c r="I4" i="142" s="1"/>
  <c r="N5" i="142"/>
  <c r="Z6" i="142"/>
  <c r="AA6" i="142" s="1"/>
  <c r="AF7" i="142"/>
  <c r="AG7" i="142" s="1"/>
  <c r="B9" i="142"/>
  <c r="C9" i="142" s="1"/>
  <c r="H10" i="142"/>
  <c r="I10" i="142" s="1"/>
  <c r="N11" i="142"/>
  <c r="Z12" i="142"/>
  <c r="AA12" i="142" s="1"/>
  <c r="AF13" i="142"/>
  <c r="AG13" i="142" s="1"/>
  <c r="B15" i="142"/>
  <c r="C15" i="142" s="1"/>
  <c r="H16" i="142"/>
  <c r="I16" i="142" s="1"/>
  <c r="N17" i="142"/>
  <c r="T5" i="142"/>
  <c r="T11" i="142"/>
  <c r="T17" i="142"/>
  <c r="Z5" i="142"/>
  <c r="AA5" i="142" s="1"/>
  <c r="AF6" i="142"/>
  <c r="AG6" i="142" s="1"/>
  <c r="B8" i="142"/>
  <c r="C8" i="142" s="1"/>
  <c r="H9" i="142"/>
  <c r="I9" i="142" s="1"/>
  <c r="N10" i="142"/>
  <c r="Z11" i="142"/>
  <c r="AA11" i="142" s="1"/>
  <c r="AF12" i="142"/>
  <c r="AG12" i="142" s="1"/>
  <c r="B14" i="142"/>
  <c r="C14" i="142" s="1"/>
  <c r="H15" i="142"/>
  <c r="I15" i="142" s="1"/>
  <c r="N16" i="142"/>
  <c r="Z17" i="142"/>
  <c r="AA17" i="142" s="1"/>
  <c r="B2" i="142"/>
  <c r="C2" i="142" s="1"/>
  <c r="H3" i="142"/>
  <c r="I3" i="142" s="1"/>
  <c r="T4" i="142"/>
  <c r="T10" i="142"/>
  <c r="T16" i="142"/>
  <c r="B7" i="142"/>
  <c r="C7" i="142" s="1"/>
  <c r="AF17" i="142"/>
  <c r="AG17" i="142" s="1"/>
  <c r="H2" i="142"/>
  <c r="I2" i="142" s="1"/>
  <c r="N3" i="142"/>
  <c r="Z4" i="142"/>
  <c r="AA4" i="142" s="1"/>
  <c r="AF5" i="142"/>
  <c r="AG5" i="142" s="1"/>
  <c r="H8" i="142"/>
  <c r="I8" i="142" s="1"/>
  <c r="N9" i="142"/>
  <c r="Z10" i="142"/>
  <c r="AA10" i="142" s="1"/>
  <c r="AF11" i="142"/>
  <c r="AG11" i="142" s="1"/>
  <c r="B13" i="142"/>
  <c r="C13" i="142" s="1"/>
  <c r="H14" i="142"/>
  <c r="I14" i="142" s="1"/>
  <c r="N15" i="142"/>
  <c r="Z16" i="142"/>
  <c r="AA16" i="142" s="1"/>
  <c r="T3" i="142"/>
  <c r="T9" i="142"/>
  <c r="AB13" i="90"/>
  <c r="H16" i="90"/>
  <c r="I16" i="90" s="1"/>
  <c r="P15" i="90"/>
  <c r="Q15" i="90" s="1"/>
  <c r="R15" i="90" s="1"/>
  <c r="N2" i="90"/>
  <c r="V14" i="90"/>
  <c r="W14" i="90" s="1"/>
  <c r="X14" i="90" s="1"/>
  <c r="H14" i="90"/>
  <c r="I14" i="90" s="1"/>
  <c r="H13" i="90"/>
  <c r="I13" i="90" s="1"/>
  <c r="AH11" i="90"/>
  <c r="AF8" i="90"/>
  <c r="AG8" i="90" s="1"/>
  <c r="H8" i="90"/>
  <c r="I8" i="90" s="1"/>
  <c r="AB6" i="90"/>
  <c r="N4" i="90"/>
  <c r="N7" i="90"/>
  <c r="AF14" i="90"/>
  <c r="AG14" i="90" s="1"/>
  <c r="T16" i="90"/>
  <c r="P10" i="90"/>
  <c r="Q10" i="90" s="1"/>
  <c r="R10" i="90" s="1"/>
  <c r="B17" i="90"/>
  <c r="C17" i="90" s="1"/>
  <c r="AB9" i="90"/>
  <c r="Z10" i="90"/>
  <c r="AA10" i="90" s="1"/>
  <c r="P17" i="90"/>
  <c r="Q17" i="90" s="1"/>
  <c r="R17" i="90" s="1"/>
  <c r="Z11" i="90"/>
  <c r="AA11" i="90" s="1"/>
  <c r="AH17" i="90"/>
  <c r="B3" i="90"/>
  <c r="C3" i="90" s="1"/>
  <c r="H4" i="90"/>
  <c r="I4" i="90" s="1"/>
  <c r="Z5" i="90"/>
  <c r="AA5" i="90" s="1"/>
  <c r="V7" i="90"/>
  <c r="W7" i="90" s="1"/>
  <c r="X7" i="90" s="1"/>
  <c r="H9" i="90"/>
  <c r="I9" i="90" s="1"/>
  <c r="AH9" i="90"/>
  <c r="V10" i="90"/>
  <c r="W10" i="90" s="1"/>
  <c r="X10" i="90" s="1"/>
  <c r="Z12" i="90"/>
  <c r="AA12" i="90" s="1"/>
  <c r="P13" i="90"/>
  <c r="Q13" i="90" s="1"/>
  <c r="R13" i="90" s="1"/>
  <c r="Z15" i="90"/>
  <c r="AA15" i="90" s="1"/>
  <c r="P16" i="90"/>
  <c r="Q16" i="90" s="1"/>
  <c r="R16" i="90" s="1"/>
  <c r="N17" i="90"/>
  <c r="T4" i="90"/>
  <c r="AF5" i="90"/>
  <c r="AG5" i="90" s="1"/>
  <c r="AF6" i="90"/>
  <c r="AG6" i="90" s="1"/>
  <c r="T8" i="90"/>
  <c r="N9" i="90"/>
  <c r="N11" i="90"/>
  <c r="B12" i="90"/>
  <c r="C12" i="90" s="1"/>
  <c r="AB12" i="90"/>
  <c r="AH14" i="90"/>
  <c r="AI14" i="90" s="1"/>
  <c r="AJ14" i="90" s="1"/>
  <c r="AB15" i="90"/>
  <c r="AC15" i="90" s="1"/>
  <c r="AD15" i="90" s="1"/>
  <c r="V16" i="90"/>
  <c r="W16" i="90" s="1"/>
  <c r="X16" i="90" s="1"/>
  <c r="H3" i="90"/>
  <c r="I3" i="90" s="1"/>
  <c r="Z4" i="90"/>
  <c r="AA4" i="90" s="1"/>
  <c r="B6" i="90"/>
  <c r="C6" i="90" s="1"/>
  <c r="Z7" i="90"/>
  <c r="AA7" i="90" s="1"/>
  <c r="V8" i="90"/>
  <c r="W8" i="90" s="1"/>
  <c r="X8" i="90" s="1"/>
  <c r="P9" i="90"/>
  <c r="Q9" i="90" s="1"/>
  <c r="R9" i="90" s="1"/>
  <c r="B10" i="90"/>
  <c r="C10" i="90" s="1"/>
  <c r="AB10" i="90"/>
  <c r="AC10" i="90" s="1"/>
  <c r="AD10" i="90" s="1"/>
  <c r="P11" i="90"/>
  <c r="Q11" i="90" s="1"/>
  <c r="R11" i="90" s="1"/>
  <c r="H12" i="90"/>
  <c r="I12" i="90" s="1"/>
  <c r="AF12" i="90"/>
  <c r="AG12" i="90" s="1"/>
  <c r="T13" i="90"/>
  <c r="J14" i="90"/>
  <c r="K14" i="90" s="1"/>
  <c r="L14" i="90" s="1"/>
  <c r="B15" i="90"/>
  <c r="C15" i="90" s="1"/>
  <c r="AF15" i="90"/>
  <c r="AG15" i="90" s="1"/>
  <c r="Z16" i="90"/>
  <c r="AA16" i="90" s="1"/>
  <c r="AH6" i="90"/>
  <c r="AB7" i="90"/>
  <c r="T9" i="90"/>
  <c r="AF10" i="90"/>
  <c r="AG10" i="90" s="1"/>
  <c r="V13" i="90"/>
  <c r="W13" i="90" s="1"/>
  <c r="X13" i="90" s="1"/>
  <c r="N14" i="90"/>
  <c r="T17" i="90"/>
  <c r="B2" i="90"/>
  <c r="C2" i="90" s="1"/>
  <c r="N3" i="90"/>
  <c r="AF4" i="90"/>
  <c r="AG4" i="90" s="1"/>
  <c r="H6" i="90"/>
  <c r="I6" i="90" s="1"/>
  <c r="B7" i="90"/>
  <c r="C7" i="90" s="1"/>
  <c r="AF7" i="90"/>
  <c r="AG7" i="90" s="1"/>
  <c r="Z8" i="90"/>
  <c r="AA8" i="90" s="1"/>
  <c r="V9" i="90"/>
  <c r="W9" i="90" s="1"/>
  <c r="X9" i="90" s="1"/>
  <c r="H10" i="90"/>
  <c r="I10" i="90" s="1"/>
  <c r="T11" i="90"/>
  <c r="J12" i="90"/>
  <c r="AH12" i="90"/>
  <c r="AI12" i="90" s="1"/>
  <c r="AJ12" i="90" s="1"/>
  <c r="P14" i="90"/>
  <c r="Q14" i="90" s="1"/>
  <c r="R14" i="90" s="1"/>
  <c r="H15" i="90"/>
  <c r="I15" i="90" s="1"/>
  <c r="AH15" i="90"/>
  <c r="AB16" i="90"/>
  <c r="V17" i="90"/>
  <c r="W17" i="90" s="1"/>
  <c r="X17" i="90" s="1"/>
  <c r="T3" i="90"/>
  <c r="B5" i="90"/>
  <c r="C5" i="90" s="1"/>
  <c r="N6" i="90"/>
  <c r="H7" i="90"/>
  <c r="I7" i="90" s="1"/>
  <c r="AH7" i="90"/>
  <c r="J10" i="90"/>
  <c r="AH10" i="90"/>
  <c r="V11" i="90"/>
  <c r="W11" i="90" s="1"/>
  <c r="X11" i="90" s="1"/>
  <c r="N12" i="90"/>
  <c r="B13" i="90"/>
  <c r="C13" i="90" s="1"/>
  <c r="J15" i="90"/>
  <c r="B16" i="90"/>
  <c r="C16" i="90" s="1"/>
  <c r="AF16" i="90"/>
  <c r="AG16" i="90" s="1"/>
  <c r="Z17" i="90"/>
  <c r="AA17" i="90" s="1"/>
  <c r="H2" i="90"/>
  <c r="I2" i="90" s="1"/>
  <c r="Z3" i="90"/>
  <c r="AA3" i="90" s="1"/>
  <c r="H5" i="90"/>
  <c r="I5" i="90" s="1"/>
  <c r="P6" i="90"/>
  <c r="Q6" i="90" s="1"/>
  <c r="R6" i="90" s="1"/>
  <c r="B8" i="90"/>
  <c r="C8" i="90" s="1"/>
  <c r="AB8" i="90"/>
  <c r="Z9" i="90"/>
  <c r="AA9" i="90" s="1"/>
  <c r="AC9" i="90" s="1"/>
  <c r="AD9" i="90" s="1"/>
  <c r="N10" i="90"/>
  <c r="B11" i="90"/>
  <c r="C11" i="90" s="1"/>
  <c r="P12" i="90"/>
  <c r="Q12" i="90" s="1"/>
  <c r="R12" i="90" s="1"/>
  <c r="Z13" i="90"/>
  <c r="AA13" i="90" s="1"/>
  <c r="AC13" i="90" s="1"/>
  <c r="AD13" i="90" s="1"/>
  <c r="T14" i="90"/>
  <c r="N15" i="90"/>
  <c r="AH16" i="90"/>
  <c r="AB17" i="90"/>
  <c r="T2" i="90"/>
  <c r="AF3" i="90"/>
  <c r="AG3" i="90" s="1"/>
  <c r="N5" i="90"/>
  <c r="T6" i="90"/>
  <c r="P7" i="90"/>
  <c r="Q7" i="90" s="1"/>
  <c r="R7" i="90" s="1"/>
  <c r="H11" i="90"/>
  <c r="I11" i="90" s="1"/>
  <c r="AF13" i="90"/>
  <c r="AG13" i="90" s="1"/>
  <c r="T15" i="90"/>
  <c r="J16" i="90"/>
  <c r="H17" i="90"/>
  <c r="I17" i="90" s="1"/>
  <c r="AF17" i="90"/>
  <c r="AG17" i="90" s="1"/>
  <c r="Z2" i="90"/>
  <c r="AA2" i="90" s="1"/>
  <c r="B4" i="90"/>
  <c r="C4" i="90" s="1"/>
  <c r="P5" i="90"/>
  <c r="Q5" i="90" s="1"/>
  <c r="R5" i="90" s="1"/>
  <c r="V6" i="90"/>
  <c r="W6" i="90" s="1"/>
  <c r="X6" i="90" s="1"/>
  <c r="N8" i="90"/>
  <c r="AH8" i="90"/>
  <c r="AB11" i="90"/>
  <c r="T12" i="90"/>
  <c r="J13" i="90"/>
  <c r="AH13" i="90"/>
  <c r="Z14" i="90"/>
  <c r="AA14" i="90" s="1"/>
  <c r="V15" i="90"/>
  <c r="W15" i="90" s="1"/>
  <c r="X15" i="90" s="1"/>
  <c r="AF2" i="90"/>
  <c r="AG2" i="90" s="1"/>
  <c r="T5" i="90"/>
  <c r="Z6" i="90"/>
  <c r="AA6" i="90" s="1"/>
  <c r="T7" i="90"/>
  <c r="P8" i="90"/>
  <c r="Q8" i="90" s="1"/>
  <c r="R8" i="90" s="1"/>
  <c r="B9" i="90"/>
  <c r="C9" i="90" s="1"/>
  <c r="AF9" i="90"/>
  <c r="AG9" i="90" s="1"/>
  <c r="T10" i="90"/>
  <c r="J11" i="90"/>
  <c r="AF11" i="90"/>
  <c r="AG11" i="90" s="1"/>
  <c r="AI11" i="90" s="1"/>
  <c r="AJ11" i="90" s="1"/>
  <c r="V12" i="90"/>
  <c r="W12" i="90" s="1"/>
  <c r="X12" i="90" s="1"/>
  <c r="N13" i="90"/>
  <c r="B14" i="90"/>
  <c r="C14" i="90" s="1"/>
  <c r="AB14" i="90"/>
  <c r="N16" i="90"/>
  <c r="J17" i="90"/>
  <c r="K16" i="90" l="1"/>
  <c r="L16" i="90" s="1"/>
  <c r="K13" i="90"/>
  <c r="L13" i="90" s="1"/>
  <c r="AI7" i="90"/>
  <c r="AJ7" i="90" s="1"/>
  <c r="AI8" i="90"/>
  <c r="AJ8" i="90" s="1"/>
  <c r="AC6" i="90"/>
  <c r="AD6" i="90" s="1"/>
  <c r="AC12" i="90"/>
  <c r="AD12" i="90" s="1"/>
  <c r="AI17" i="90"/>
  <c r="AJ17" i="90" s="1"/>
  <c r="K12" i="90"/>
  <c r="L12" i="90" s="1"/>
  <c r="K15" i="90"/>
  <c r="L15" i="90" s="1"/>
  <c r="AI16" i="90"/>
  <c r="AJ16" i="90" s="1"/>
  <c r="AI13" i="90"/>
  <c r="AJ13" i="90" s="1"/>
  <c r="AC11" i="90"/>
  <c r="AD11" i="90" s="1"/>
  <c r="K11" i="90"/>
  <c r="L11" i="90" s="1"/>
  <c r="AI9" i="90"/>
  <c r="AJ9" i="90" s="1"/>
  <c r="AC17" i="90"/>
  <c r="AD17" i="90" s="1"/>
  <c r="AC8" i="90"/>
  <c r="AD8" i="90" s="1"/>
  <c r="AC7" i="90"/>
  <c r="AD7" i="90" s="1"/>
  <c r="AI6" i="90"/>
  <c r="AJ6" i="90" s="1"/>
  <c r="AC16" i="90"/>
  <c r="AD16" i="90" s="1"/>
  <c r="AI15" i="90"/>
  <c r="AJ15" i="90" s="1"/>
  <c r="K17" i="90"/>
  <c r="L17" i="90" s="1"/>
  <c r="AC14" i="90"/>
  <c r="AD14" i="90" s="1"/>
  <c r="AI10" i="90"/>
  <c r="AJ10" i="90" s="1"/>
  <c r="K10" i="90"/>
  <c r="L10" i="90" s="1"/>
</calcChain>
</file>

<file path=xl/sharedStrings.xml><?xml version="1.0" encoding="utf-8"?>
<sst xmlns="http://schemas.openxmlformats.org/spreadsheetml/2006/main" count="271" uniqueCount="32">
  <si>
    <t>Cores</t>
  </si>
  <si>
    <t>Serial</t>
  </si>
  <si>
    <t>Parallel Efficiency</t>
  </si>
  <si>
    <t>Parallel  Speedup</t>
  </si>
  <si>
    <t>Parallel</t>
  </si>
  <si>
    <t>Dist</t>
  </si>
  <si>
    <t>n_2_20</t>
  </si>
  <si>
    <t>n_2_19</t>
  </si>
  <si>
    <t>n_2_18</t>
  </si>
  <si>
    <t>GPU  Speedup</t>
  </si>
  <si>
    <t>Distribute_CPU  Speedup</t>
  </si>
  <si>
    <t>Distribute CPU Efficiency</t>
  </si>
  <si>
    <t>GPU Efficiency</t>
  </si>
  <si>
    <t>Distribute GPU Speedup</t>
  </si>
  <si>
    <t>Distribute GPU Efficiency</t>
  </si>
  <si>
    <t>GPU</t>
  </si>
  <si>
    <t>DistGpu</t>
  </si>
  <si>
    <t>Device 1024</t>
  </si>
  <si>
    <t>Dist GPU</t>
  </si>
  <si>
    <t>blocksize 256</t>
  </si>
  <si>
    <t>blocksize 64</t>
  </si>
  <si>
    <t>0.0460.0752545655</t>
  </si>
  <si>
    <t>Serial n_2_20</t>
  </si>
  <si>
    <t>Serial n_2_19</t>
  </si>
  <si>
    <t>Serial n_2_18</t>
  </si>
  <si>
    <t>Parallel n_2_20</t>
  </si>
  <si>
    <t>Parallel n_2_19</t>
  </si>
  <si>
    <t>Parallel n_2_18</t>
  </si>
  <si>
    <t>2^20</t>
  </si>
  <si>
    <t>2^19</t>
  </si>
  <si>
    <t>2^18</t>
  </si>
  <si>
    <t>Distribute CPU  Speedup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</si>
</sst>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Serial</a:t>
            </a:r>
            <a:r>
              <a:rPr lang="en-US" baseline="0"/>
              <a:t> Scaling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'K2 E25'!$D$22</c:f>
              <c:strCache>
                <c:ptCount val="1"/>
                <c:pt idx="0">
                  <c:v>Serial n_2_20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'K2 E25'!$D$23:$D$30</c:f>
              <c:numCache>
                <c:formatCode>General</c:formatCode>
                <c:ptCount val="8"/>
                <c:pt idx="0">
                  <c:v>2.20126</c:v>
                </c:pt>
                <c:pt idx="1">
                  <c:v>2.1997900000000001</c:v>
                </c:pt>
                <c:pt idx="2">
                  <c:v>2.1974499999999999</c:v>
                </c:pt>
                <c:pt idx="3">
                  <c:v>2.19739</c:v>
                </c:pt>
                <c:pt idx="4">
                  <c:v>2.19861</c:v>
                </c:pt>
                <c:pt idx="5">
                  <c:v>2.1977099999999998</c:v>
                </c:pt>
                <c:pt idx="6">
                  <c:v>2.19855</c:v>
                </c:pt>
                <c:pt idx="7">
                  <c:v>2.19123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08-4A13-AB63-F9BEB0793C8B}"/>
            </c:ext>
          </c:extLst>
        </c:ser>
        <c:ser>
          <c:idx val="1"/>
          <c:order val="1"/>
          <c:tx>
            <c:strRef>
              <c:f>'K2 E25'!$E$22</c:f>
              <c:strCache>
                <c:ptCount val="1"/>
                <c:pt idx="0">
                  <c:v>Serial n_2_19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'K2 E25'!$E$23:$E$30</c:f>
              <c:numCache>
                <c:formatCode>General</c:formatCode>
                <c:ptCount val="8"/>
                <c:pt idx="0">
                  <c:v>1.0970899999999999</c:v>
                </c:pt>
                <c:pt idx="1">
                  <c:v>1.09779</c:v>
                </c:pt>
                <c:pt idx="2">
                  <c:v>1.0983400000000001</c:v>
                </c:pt>
                <c:pt idx="3">
                  <c:v>1.09778</c:v>
                </c:pt>
                <c:pt idx="4">
                  <c:v>1.12785</c:v>
                </c:pt>
                <c:pt idx="5">
                  <c:v>1.0973299999999999</c:v>
                </c:pt>
                <c:pt idx="6">
                  <c:v>1.09822</c:v>
                </c:pt>
                <c:pt idx="7">
                  <c:v>1.09893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08-4A13-AB63-F9BEB0793C8B}"/>
            </c:ext>
          </c:extLst>
        </c:ser>
        <c:ser>
          <c:idx val="2"/>
          <c:order val="2"/>
          <c:tx>
            <c:strRef>
              <c:f>'K2 E25'!$F$22</c:f>
              <c:strCache>
                <c:ptCount val="1"/>
                <c:pt idx="0">
                  <c:v>Serial n_2_18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'K2 E25'!$F$23:$F$30</c:f>
              <c:numCache>
                <c:formatCode>General</c:formatCode>
                <c:ptCount val="8"/>
                <c:pt idx="0">
                  <c:v>0.53931600000000002</c:v>
                </c:pt>
                <c:pt idx="1">
                  <c:v>0.53857200000000005</c:v>
                </c:pt>
                <c:pt idx="2">
                  <c:v>0.54498800000000003</c:v>
                </c:pt>
                <c:pt idx="3">
                  <c:v>0.53970300000000004</c:v>
                </c:pt>
                <c:pt idx="4">
                  <c:v>0.54475799999999996</c:v>
                </c:pt>
                <c:pt idx="5">
                  <c:v>0.53625599999999995</c:v>
                </c:pt>
                <c:pt idx="6">
                  <c:v>0.54556899999999997</c:v>
                </c:pt>
                <c:pt idx="7">
                  <c:v>0.54564999999999997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08-4A13-AB63-F9BEB0793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6395855"/>
        <c:axId val="2086394415"/>
      </c:lineChart>
      <c:catAx>
        <c:axId val="2086395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94415"/>
        <c:crosses val="autoZero"/>
        <c:auto val="1"/>
        <c:lblAlgn val="ctr"/>
        <c:lblOffset val="100"/>
        <c:noMultiLvlLbl val="0"/>
      </c:catAx>
      <c:valAx>
        <c:axId val="208639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</a:t>
                </a:r>
                <a:r>
                  <a:rPr lang="en-US" baseline="0"/>
                  <a:t> (Seconds)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9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Parallel Scaling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'K2 E25'!$D$1</c:f>
              <c:strCache>
                <c:ptCount val="1"/>
                <c:pt idx="0">
                  <c:v>Parallel n_2_20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'K2 E25'!$D$2:$D$9</c:f>
              <c:numCache>
                <c:formatCode>General</c:formatCode>
                <c:ptCount val="8"/>
                <c:pt idx="0">
                  <c:v>1.57728</c:v>
                </c:pt>
                <c:pt idx="1">
                  <c:v>1.22709</c:v>
                </c:pt>
                <c:pt idx="2">
                  <c:v>1.3199799999999999</c:v>
                </c:pt>
                <c:pt idx="3">
                  <c:v>1.2916000000000001</c:v>
                </c:pt>
                <c:pt idx="4">
                  <c:v>1.3236300000000001</c:v>
                </c:pt>
                <c:pt idx="5">
                  <c:v>1.2835300000000001</c:v>
                </c:pt>
                <c:pt idx="6">
                  <c:v>1.3205800000000001</c:v>
                </c:pt>
                <c:pt idx="7">
                  <c:v>1.2779199999999999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53-4589-9E68-CDBA6ACF032C}"/>
            </c:ext>
          </c:extLst>
        </c:ser>
        <c:ser>
          <c:idx val="1"/>
          <c:order val="1"/>
          <c:tx>
            <c:strRef>
              <c:f>'K2 E25'!$E$1</c:f>
              <c:strCache>
                <c:ptCount val="1"/>
                <c:pt idx="0">
                  <c:v>Parallel n_2_19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'K2 E25'!$E$2:$E$9</c:f>
              <c:numCache>
                <c:formatCode>General</c:formatCode>
                <c:ptCount val="8"/>
                <c:pt idx="0">
                  <c:v>0.791242</c:v>
                </c:pt>
                <c:pt idx="1">
                  <c:v>0.61860099999999996</c:v>
                </c:pt>
                <c:pt idx="2">
                  <c:v>0.67680899999999999</c:v>
                </c:pt>
                <c:pt idx="3">
                  <c:v>0.63794099999999998</c:v>
                </c:pt>
                <c:pt idx="4">
                  <c:v>0.66789799999999999</c:v>
                </c:pt>
                <c:pt idx="5">
                  <c:v>0.63717500000000005</c:v>
                </c:pt>
                <c:pt idx="6">
                  <c:v>0.65715699999999999</c:v>
                </c:pt>
                <c:pt idx="7">
                  <c:v>0.64313500000000001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53-4589-9E68-CDBA6ACF032C}"/>
            </c:ext>
          </c:extLst>
        </c:ser>
        <c:ser>
          <c:idx val="2"/>
          <c:order val="2"/>
          <c:tx>
            <c:strRef>
              <c:f>'K2 E25'!$F$1</c:f>
              <c:strCache>
                <c:ptCount val="1"/>
                <c:pt idx="0">
                  <c:v>Parallel n_2_18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'K2 E25'!$F$2:$F$9</c:f>
              <c:numCache>
                <c:formatCode>General</c:formatCode>
                <c:ptCount val="8"/>
                <c:pt idx="0">
                  <c:v>0.39255699999999999</c:v>
                </c:pt>
                <c:pt idx="1">
                  <c:v>0.30800899999999998</c:v>
                </c:pt>
                <c:pt idx="2">
                  <c:v>0.33926099999999998</c:v>
                </c:pt>
                <c:pt idx="3">
                  <c:v>0.32057999999999998</c:v>
                </c:pt>
                <c:pt idx="4">
                  <c:v>0.336036</c:v>
                </c:pt>
                <c:pt idx="5">
                  <c:v>0.327793</c:v>
                </c:pt>
                <c:pt idx="6">
                  <c:v>0.332374</c:v>
                </c:pt>
                <c:pt idx="7">
                  <c:v>0.32694600000000001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53-4589-9E68-CDBA6ACF0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56767"/>
        <c:axId val="21251007"/>
      </c:lineChart>
      <c:catAx>
        <c:axId val="21256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1007"/>
        <c:crosses val="autoZero"/>
        <c:auto val="1"/>
        <c:lblAlgn val="ctr"/>
        <c:lblOffset val="100"/>
        <c:noMultiLvlLbl val="0"/>
      </c:catAx>
      <c:valAx>
        <c:axId val="2125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(Seconds)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'K2 E25'!$B$1</c:f>
              <c:strCache>
                <c:ptCount val="1"/>
                <c:pt idx="0">
                  <c:v>Parallel  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'K2 E25'!$A$2:$A$9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'K2 E25'!$B$2:$B$9</c:f>
              <c:numCache>
                <c:formatCode>0.00</c:formatCode>
                <c:ptCount val="8"/>
                <c:pt idx="0">
                  <c:v>1.3833975181857081</c:v>
                </c:pt>
                <c:pt idx="1">
                  <c:v>1.7818839606842798</c:v>
                </c:pt>
                <c:pt idx="2">
                  <c:v>1.6873469387755102</c:v>
                </c:pt>
                <c:pt idx="3">
                  <c:v>1.7873399060167694</c:v>
                </c:pt>
                <c:pt idx="4">
                  <c:v>1.6750516450012287</c:v>
                </c:pt>
                <c:pt idx="5">
                  <c:v>1.7100020343120634</c:v>
                </c:pt>
                <c:pt idx="6">
                  <c:v>1.6717757653703873</c:v>
                </c:pt>
                <c:pt idx="7">
                  <c:v>1.7047998918334233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C5-49E6-B6E0-BCEC08DB4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4847"/>
        <c:axId val="21266367"/>
      </c:scatterChart>
      <c:valAx>
        <c:axId val="21254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6367"/>
        <c:crosses val="autoZero"/>
        <c:crossBetween val="midCat"/>
      </c:valAx>
      <c:valAx>
        <c:axId val="2126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</a:t>
                </a:r>
                <a:r>
                  <a:rPr lang="en-US" baseline="0"/>
                  <a:t>up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4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'K2 E25'!$C$1</c:f>
              <c:strCache>
                <c:ptCount val="1"/>
                <c:pt idx="0">
                  <c:v>Parallel Efficiency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'K2 E25'!$A$2:$A$9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'K2 E25'!$C$2:$C$9</c:f>
              <c:numCache>
                <c:formatCode>General</c:formatCode>
                <c:ptCount val="8"/>
                <c:pt idx="0">
                  <c:v>1.3833975181857081</c:v>
                </c:pt>
                <c:pt idx="1">
                  <c:v>0.89094198034213989</c:v>
                </c:pt>
                <c:pt idx="2">
                  <c:v>0.56244897959183671</c:v>
                </c:pt>
                <c:pt idx="3">
                  <c:v>0.44683497650419235</c:v>
                </c:pt>
                <c:pt idx="4">
                  <c:v>0.33501032900024574</c:v>
                </c:pt>
                <c:pt idx="5">
                  <c:v>0.28500033905201055</c:v>
                </c:pt>
                <c:pt idx="6">
                  <c:v>0.23882510933862675</c:v>
                </c:pt>
                <c:pt idx="7">
                  <c:v>0.21309998647917791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49-4CD7-B5CF-E648B8479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79311"/>
        <c:axId val="64585551"/>
      </c:scatterChart>
      <c:valAx>
        <c:axId val="64579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85551"/>
        <c:crosses val="autoZero"/>
        <c:crossBetween val="midCat"/>
      </c:valAx>
      <c:valAx>
        <c:axId val="6458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79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GPU</a:t>
            </a:r>
            <a:r>
              <a:rPr lang="en-US" baseline="0"/>
              <a:t> Scaling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'K2 E25'!$P$1</c:f>
              <c:strCache>
                <c:ptCount val="1"/>
                <c:pt idx="0">
                  <c:v>n_2_20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'K2 E25'!$M$2:$M$4</c:f>
              <c:numCache>
                <c:formatCode>General</c:formatCode>
                <c:ptCount val="3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</c:numCache>
            </c:numRef>
          </c:cat>
          <c:val>
            <c:numRef>
              <c:f>'K2 E25'!$P$2:$P$4</c:f>
              <c:numCache>
                <c:formatCode>General</c:formatCode>
                <c:ptCount val="3"/>
                <c:pt idx="0">
                  <c:v>0.24681600000000001</c:v>
                </c:pt>
                <c:pt idx="1">
                  <c:v>0.29100900000000002</c:v>
                </c:pt>
                <c:pt idx="2">
                  <c:v>0.49044399999999999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6D-49F8-A684-77A02A709A45}"/>
            </c:ext>
          </c:extLst>
        </c:ser>
        <c:ser>
          <c:idx val="1"/>
          <c:order val="1"/>
          <c:tx>
            <c:strRef>
              <c:f>'K2 E25'!$Q$1</c:f>
              <c:strCache>
                <c:ptCount val="1"/>
                <c:pt idx="0">
                  <c:v>n_2_19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'K2 E25'!$M$2:$M$4</c:f>
              <c:numCache>
                <c:formatCode>General</c:formatCode>
                <c:ptCount val="3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</c:numCache>
            </c:numRef>
          </c:cat>
          <c:val>
            <c:numRef>
              <c:f>'K2 E25'!$Q$2:$Q$4</c:f>
              <c:numCache>
                <c:formatCode>General</c:formatCode>
                <c:ptCount val="3"/>
                <c:pt idx="0">
                  <c:v>0.19950699999999999</c:v>
                </c:pt>
                <c:pt idx="1">
                  <c:v>0.22132599999999999</c:v>
                </c:pt>
                <c:pt idx="2">
                  <c:v>0.32010899999999998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6D-49F8-A684-77A02A709A45}"/>
            </c:ext>
          </c:extLst>
        </c:ser>
        <c:ser>
          <c:idx val="2"/>
          <c:order val="2"/>
          <c:tx>
            <c:strRef>
              <c:f>'K2 E25'!$R$1</c:f>
              <c:strCache>
                <c:ptCount val="1"/>
                <c:pt idx="0">
                  <c:v>n_2_18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'K2 E25'!$M$2:$M$4</c:f>
              <c:numCache>
                <c:formatCode>General</c:formatCode>
                <c:ptCount val="3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</c:numCache>
            </c:numRef>
          </c:cat>
          <c:val>
            <c:numRef>
              <c:f>'K2 E25'!$R$2:$R$4</c:f>
              <c:numCache>
                <c:formatCode>General</c:formatCode>
                <c:ptCount val="3"/>
                <c:pt idx="0">
                  <c:v>0.17591300000000001</c:v>
                </c:pt>
                <c:pt idx="1">
                  <c:v>0.185363</c:v>
                </c:pt>
                <c:pt idx="2">
                  <c:v>0.24656900000000001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6D-49F8-A684-77A02A709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95519"/>
        <c:axId val="15292639"/>
      </c:lineChart>
      <c:catAx>
        <c:axId val="15295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Blocksize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2639"/>
        <c:crosses val="autoZero"/>
        <c:auto val="1"/>
        <c:lblAlgn val="ctr"/>
        <c:lblOffset val="100"/>
        <c:noMultiLvlLbl val="0"/>
      </c:catAx>
      <c:valAx>
        <c:axId val="1529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(Seconds)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Distribute</a:t>
            </a:r>
            <a:r>
              <a:rPr lang="en-US" baseline="0"/>
              <a:t> GPU Block Size 1024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'K2 E25'!$V$1</c:f>
              <c:strCache>
                <c:ptCount val="1"/>
                <c:pt idx="0">
                  <c:v>2^20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'K2 E25'!$S$2:$S$5</c15:sqref>
                  </c15:fullRef>
                </c:ext>
              </c:extLst>
              <c:f>'K2 E25'!$S$3:$S$5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'K2 E25'!$V$2:$V$5</c15:sqref>
                  </c15:fullRef>
                </c:ext>
              </c:extLst>
              <c:f>'K2 E25'!$V$3:$V$5</c:f>
              <c:numCache>
                <c:formatCode>General</c:formatCode>
                <c:ptCount val="3"/>
                <c:pt idx="0">
                  <c:v>0.16064200000000001</c:v>
                </c:pt>
                <c:pt idx="1">
                  <c:v>0.240311</c:v>
                </c:pt>
                <c:pt idx="2">
                  <c:v>0.20071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29-4BB0-B5A4-0AA17C2380BE}"/>
            </c:ext>
          </c:extLst>
        </c:ser>
        <c:ser>
          <c:idx val="1"/>
          <c:order val="1"/>
          <c:tx>
            <c:strRef>
              <c:f>'K2 E25'!$W$1</c:f>
              <c:strCache>
                <c:ptCount val="1"/>
                <c:pt idx="0">
                  <c:v>2^19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'K2 E25'!$S$2:$S$5</c15:sqref>
                  </c15:fullRef>
                </c:ext>
              </c:extLst>
              <c:f>'K2 E25'!$S$3:$S$5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'K2 E25'!$W$2:$W$5</c15:sqref>
                  </c15:fullRef>
                </c:ext>
              </c:extLst>
              <c:f>'K2 E25'!$W$3:$W$5</c:f>
              <c:numCache>
                <c:formatCode>General</c:formatCode>
                <c:ptCount val="3"/>
                <c:pt idx="0">
                  <c:v>9.60897E-2</c:v>
                </c:pt>
                <c:pt idx="1">
                  <c:v>0.129325</c:v>
                </c:pt>
                <c:pt idx="2">
                  <c:v>0.119852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29-4BB0-B5A4-0AA17C2380BE}"/>
            </c:ext>
          </c:extLst>
        </c:ser>
        <c:ser>
          <c:idx val="2"/>
          <c:order val="2"/>
          <c:tx>
            <c:strRef>
              <c:f>'K2 E25'!$X$1</c:f>
              <c:strCache>
                <c:ptCount val="1"/>
                <c:pt idx="0">
                  <c:v>2^18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'K2 E25'!$S$2:$S$5</c15:sqref>
                  </c15:fullRef>
                </c:ext>
              </c:extLst>
              <c:f>'K2 E25'!$S$3:$S$5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'K2 E25'!$X$2:$X$5</c15:sqref>
                  </c15:fullRef>
                </c:ext>
              </c:extLst>
              <c:f>'K2 E25'!$X$3:$X$5</c:f>
              <c:numCache>
                <c:formatCode>General</c:formatCode>
                <c:ptCount val="3"/>
                <c:pt idx="0">
                  <c:v>4.69884E-2</c:v>
                </c:pt>
                <c:pt idx="1">
                  <c:v>7.6296699999999995E-2</c:v>
                </c:pt>
                <c:pt idx="2">
                  <c:v>7.6511899999999994E-2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29-4BB0-B5A4-0AA17C238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8098511"/>
        <c:axId val="278094671"/>
      </c:lineChart>
      <c:catAx>
        <c:axId val="278098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Devices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094671"/>
        <c:crosses val="autoZero"/>
        <c:auto val="1"/>
        <c:lblAlgn val="ctr"/>
        <c:lblOffset val="100"/>
        <c:noMultiLvlLbl val="0"/>
      </c:catAx>
      <c:valAx>
        <c:axId val="27809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(Seconds)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09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Distribute</a:t>
            </a:r>
            <a:r>
              <a:rPr lang="en-US" baseline="0"/>
              <a:t> GPU Scaling </a:t>
            </a:r>
            <a:r>
              <a:rPr lang="en-US"/>
              <a:t>Block</a:t>
            </a:r>
            <a:r>
              <a:rPr lang="en-US" baseline="0"/>
              <a:t> Size 256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'K2 E25'!$AB$1</c:f>
              <c:strCache>
                <c:ptCount val="1"/>
                <c:pt idx="0">
                  <c:v>n_2_20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'K2 E25'!$S$2:$S$5</c15:sqref>
                  </c15:fullRef>
                </c:ext>
              </c:extLst>
              <c:f>'K2 E25'!$S$3:$S$5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'K2 E25'!$AB$2:$AB$5</c15:sqref>
                  </c15:fullRef>
                </c:ext>
              </c:extLst>
              <c:f>'K2 E25'!$AB$3:$AB$5</c:f>
              <c:numCache>
                <c:formatCode>General</c:formatCode>
                <c:ptCount val="3"/>
                <c:pt idx="0">
                  <c:v>5.1586300000000002E-2</c:v>
                </c:pt>
                <c:pt idx="1">
                  <c:v>7.0452799999999996E-2</c:v>
                </c:pt>
                <c:pt idx="2">
                  <c:v>7.5254000000000001E-2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48-4E15-B28E-D3DCF610DE98}"/>
            </c:ext>
          </c:extLst>
        </c:ser>
        <c:ser>
          <c:idx val="1"/>
          <c:order val="1"/>
          <c:tx>
            <c:strRef>
              <c:f>'K2 E25'!$AC$1</c:f>
              <c:strCache>
                <c:ptCount val="1"/>
                <c:pt idx="0">
                  <c:v>n_2_19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'K2 E25'!$S$2:$S$5</c15:sqref>
                  </c15:fullRef>
                </c:ext>
              </c:extLst>
              <c:f>'K2 E25'!$S$3:$S$5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'K2 E25'!$AC$2:$AC$5</c15:sqref>
                  </c15:fullRef>
                </c:ext>
              </c:extLst>
              <c:f>'K2 E25'!$AC$3:$AC$5</c:f>
              <c:numCache>
                <c:formatCode>General</c:formatCode>
                <c:ptCount val="3"/>
                <c:pt idx="0">
                  <c:v>2.8828199999999998E-2</c:v>
                </c:pt>
                <c:pt idx="1">
                  <c:v>4.6052900000000001E-2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48-4E15-B28E-D3DCF610DE98}"/>
            </c:ext>
          </c:extLst>
        </c:ser>
        <c:ser>
          <c:idx val="2"/>
          <c:order val="2"/>
          <c:tx>
            <c:strRef>
              <c:f>'K2 E25'!$AD$1</c:f>
              <c:strCache>
                <c:ptCount val="1"/>
                <c:pt idx="0">
                  <c:v>n_2_18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'K2 E25'!$S$2:$S$5</c15:sqref>
                  </c15:fullRef>
                </c:ext>
              </c:extLst>
              <c:f>'K2 E25'!$S$3:$S$5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'K2 E25'!$AD$2:$AD$5</c15:sqref>
                  </c15:fullRef>
                </c:ext>
              </c:extLst>
              <c:f>'K2 E25'!$AD$3:$AD$5</c:f>
              <c:numCache>
                <c:formatCode>General</c:formatCode>
                <c:ptCount val="3"/>
                <c:pt idx="0">
                  <c:v>2.23123E-2</c:v>
                </c:pt>
                <c:pt idx="1">
                  <c:v>2.8862700000000002E-2</c:v>
                </c:pt>
                <c:pt idx="2">
                  <c:v>3.7346499999999998E-2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48-4E15-B28E-D3DCF610D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019919"/>
        <c:axId val="184022799"/>
      </c:lineChart>
      <c:catAx>
        <c:axId val="184019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Devices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22799"/>
        <c:crosses val="autoZero"/>
        <c:auto val="1"/>
        <c:lblAlgn val="ctr"/>
        <c:lblOffset val="100"/>
        <c:noMultiLvlLbl val="0"/>
      </c:catAx>
      <c:valAx>
        <c:axId val="18402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(Second)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1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Distribute</a:t>
            </a:r>
            <a:r>
              <a:rPr lang="en-US" baseline="0"/>
              <a:t> GPU Scaling Blocksize 64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'K2 E25'!$AH$1</c:f>
              <c:strCache>
                <c:ptCount val="1"/>
                <c:pt idx="0">
                  <c:v>n_2_20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'K2 E25'!$AH$2:$AH$5</c15:sqref>
                  </c15:fullRef>
                </c:ext>
              </c:extLst>
              <c:f>'K2 E25'!$AH$3:$AH$5</c:f>
              <c:numCache>
                <c:formatCode>General</c:formatCode>
                <c:ptCount val="3"/>
                <c:pt idx="0">
                  <c:v>2.6497099999999999E-2</c:v>
                </c:pt>
                <c:pt idx="1">
                  <c:v>3.7701199999999997E-2</c:v>
                </c:pt>
                <c:pt idx="2">
                  <c:v>4.1033600000000003E-2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FA-4C48-B214-7BA98D12065B}"/>
            </c:ext>
          </c:extLst>
        </c:ser>
        <c:ser>
          <c:idx val="1"/>
          <c:order val="1"/>
          <c:tx>
            <c:strRef>
              <c:f>'K2 E25'!$AI$1</c:f>
              <c:strCache>
                <c:ptCount val="1"/>
                <c:pt idx="0">
                  <c:v>n_2_19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'K2 E25'!$AI$2:$AI$5</c15:sqref>
                  </c15:fullRef>
                </c:ext>
              </c:extLst>
              <c:f>'K2 E25'!$AI$3:$AI$5</c:f>
              <c:numCache>
                <c:formatCode>General</c:formatCode>
                <c:ptCount val="3"/>
                <c:pt idx="0">
                  <c:v>1.6586500000000001E-2</c:v>
                </c:pt>
                <c:pt idx="1">
                  <c:v>2.3755100000000001E-2</c:v>
                </c:pt>
                <c:pt idx="2">
                  <c:v>2.7406300000000001E-2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FA-4C48-B214-7BA98D12065B}"/>
            </c:ext>
          </c:extLst>
        </c:ser>
        <c:ser>
          <c:idx val="2"/>
          <c:order val="2"/>
          <c:tx>
            <c:strRef>
              <c:f>'K2 E25'!$AJ$1</c:f>
              <c:strCache>
                <c:ptCount val="1"/>
                <c:pt idx="0">
                  <c:v>n_2_18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'K2 E25'!$AJ$2:$AJ$5</c15:sqref>
                  </c15:fullRef>
                </c:ext>
              </c:extLst>
              <c:f>'K2 E25'!$AJ$3:$AJ$5</c:f>
              <c:numCache>
                <c:formatCode>General</c:formatCode>
                <c:ptCount val="3"/>
                <c:pt idx="0">
                  <c:v>1.1275800000000001E-2</c:v>
                </c:pt>
                <c:pt idx="1">
                  <c:v>1.7496999999999999E-2</c:v>
                </c:pt>
                <c:pt idx="2">
                  <c:v>2.3859200000000001E-2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FA-4C48-B214-7BA98D120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8098511"/>
        <c:axId val="278094671"/>
      </c:lineChart>
      <c:catAx>
        <c:axId val="278098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Devices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094671"/>
        <c:crosses val="autoZero"/>
        <c:auto val="1"/>
        <c:lblAlgn val="ctr"/>
        <c:lblOffset val="100"/>
        <c:noMultiLvlLbl val="0"/>
      </c:catAx>
      <c:valAx>
        <c:axId val="27809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(Seconds)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09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Parallel Scaling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'K2 E50'!$D$1</c:f>
              <c:strCache>
                <c:ptCount val="1"/>
                <c:pt idx="0">
                  <c:v>n_2_20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'K2 E50'!$D$2:$D$9</c:f>
              <c:numCache>
                <c:formatCode>General</c:formatCode>
                <c:ptCount val="8"/>
                <c:pt idx="0">
                  <c:v>3.16771</c:v>
                </c:pt>
                <c:pt idx="1">
                  <c:v>2.46061</c:v>
                </c:pt>
                <c:pt idx="2">
                  <c:v>2.6479300000000001</c:v>
                </c:pt>
                <c:pt idx="3">
                  <c:v>2.5436700000000001</c:v>
                </c:pt>
                <c:pt idx="4">
                  <c:v>2.6479499999999998</c:v>
                </c:pt>
                <c:pt idx="5">
                  <c:v>2.5718100000000002</c:v>
                </c:pt>
                <c:pt idx="6">
                  <c:v>2.6372</c:v>
                </c:pt>
                <c:pt idx="7">
                  <c:v>2.5891600000000001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13-4119-A41E-69F72EA82B9D}"/>
            </c:ext>
          </c:extLst>
        </c:ser>
        <c:ser>
          <c:idx val="1"/>
          <c:order val="1"/>
          <c:tx>
            <c:strRef>
              <c:f>'K2 E50'!$E$1</c:f>
              <c:strCache>
                <c:ptCount val="1"/>
                <c:pt idx="0">
                  <c:v>n_2_19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'K2 E50'!$E$2:$E$9</c:f>
              <c:numCache>
                <c:formatCode>General</c:formatCode>
                <c:ptCount val="8"/>
                <c:pt idx="0">
                  <c:v>1.57474</c:v>
                </c:pt>
                <c:pt idx="1">
                  <c:v>1.2513799999999999</c:v>
                </c:pt>
                <c:pt idx="2">
                  <c:v>1.36056</c:v>
                </c:pt>
                <c:pt idx="3">
                  <c:v>1.2684599999999999</c:v>
                </c:pt>
                <c:pt idx="4">
                  <c:v>1.35084</c:v>
                </c:pt>
                <c:pt idx="5">
                  <c:v>1.27536</c:v>
                </c:pt>
                <c:pt idx="6">
                  <c:v>1.3201099999999999</c:v>
                </c:pt>
                <c:pt idx="7">
                  <c:v>1.2836399999999999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13-4119-A41E-69F72EA82B9D}"/>
            </c:ext>
          </c:extLst>
        </c:ser>
        <c:ser>
          <c:idx val="2"/>
          <c:order val="2"/>
          <c:tx>
            <c:strRef>
              <c:f>'K2 E50'!$F$1</c:f>
              <c:strCache>
                <c:ptCount val="1"/>
                <c:pt idx="0">
                  <c:v>n_2_18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'K2 E50'!$F$2:$F$9</c:f>
              <c:numCache>
                <c:formatCode>General</c:formatCode>
                <c:ptCount val="8"/>
                <c:pt idx="0">
                  <c:v>0.78945200000000004</c:v>
                </c:pt>
                <c:pt idx="1">
                  <c:v>0.616568</c:v>
                </c:pt>
                <c:pt idx="2">
                  <c:v>0.68361000000000005</c:v>
                </c:pt>
                <c:pt idx="3">
                  <c:v>0.63315900000000003</c:v>
                </c:pt>
                <c:pt idx="4">
                  <c:v>0.66869100000000004</c:v>
                </c:pt>
                <c:pt idx="5">
                  <c:v>0.64328300000000005</c:v>
                </c:pt>
                <c:pt idx="6">
                  <c:v>0.66574599999999995</c:v>
                </c:pt>
                <c:pt idx="7">
                  <c:v>0.642509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13-4119-A41E-69F72EA82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354175"/>
        <c:axId val="469357535"/>
      </c:lineChart>
      <c:catAx>
        <c:axId val="469354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357535"/>
        <c:crosses val="autoZero"/>
        <c:auto val="1"/>
        <c:lblAlgn val="ctr"/>
        <c:lblOffset val="100"/>
        <c:noMultiLvlLbl val="0"/>
      </c:catAx>
      <c:valAx>
        <c:axId val="46935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(Seconds)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35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'K2 E50'!$B$1</c:f>
              <c:strCache>
                <c:ptCount val="1"/>
                <c:pt idx="0">
                  <c:v>Parallel  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'K2 E50'!$A$2:$A$9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'K2 E50'!$B$2:$B$9</c:f>
              <c:numCache>
                <c:formatCode>0.00</c:formatCode>
                <c:ptCount val="8"/>
                <c:pt idx="0">
                  <c:v>1.3831332959893681</c:v>
                </c:pt>
                <c:pt idx="1">
                  <c:v>1.7849540572432931</c:v>
                </c:pt>
                <c:pt idx="2">
                  <c:v>1.6665142015847549</c:v>
                </c:pt>
                <c:pt idx="3">
                  <c:v>1.7814693847236616</c:v>
                </c:pt>
                <c:pt idx="4">
                  <c:v>1.6602194785119366</c:v>
                </c:pt>
                <c:pt idx="5">
                  <c:v>1.7065966810771254</c:v>
                </c:pt>
                <c:pt idx="6">
                  <c:v>1.6646801922085479</c:v>
                </c:pt>
                <c:pt idx="7">
                  <c:v>1.7063076292487283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06-4197-9537-9C331FC9F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154559"/>
        <c:axId val="1682155519"/>
      </c:scatterChart>
      <c:valAx>
        <c:axId val="1682154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155519"/>
        <c:crosses val="autoZero"/>
        <c:crossBetween val="midCat"/>
      </c:valAx>
      <c:valAx>
        <c:axId val="168215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154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'K2 E50'!$C$1</c:f>
              <c:strCache>
                <c:ptCount val="1"/>
                <c:pt idx="0">
                  <c:v>Parallel Efficiency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'K2 E50'!$A$2:$A$9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'K2 E50'!$C$2:$C$9</c:f>
              <c:numCache>
                <c:formatCode>General</c:formatCode>
                <c:ptCount val="8"/>
                <c:pt idx="0">
                  <c:v>1.3831332959893681</c:v>
                </c:pt>
                <c:pt idx="1">
                  <c:v>0.89247702862164657</c:v>
                </c:pt>
                <c:pt idx="2">
                  <c:v>0.55550473386158494</c:v>
                </c:pt>
                <c:pt idx="3">
                  <c:v>0.44536734618091539</c:v>
                </c:pt>
                <c:pt idx="4">
                  <c:v>0.33204389570238735</c:v>
                </c:pt>
                <c:pt idx="5">
                  <c:v>0.28443278017952089</c:v>
                </c:pt>
                <c:pt idx="6">
                  <c:v>0.23781145602979256</c:v>
                </c:pt>
                <c:pt idx="7">
                  <c:v>0.21328845365609103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48-4A6C-BC9D-EAF6F7813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253375"/>
        <c:axId val="1682249055"/>
      </c:scatterChart>
      <c:valAx>
        <c:axId val="168225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249055"/>
        <c:crosses val="autoZero"/>
        <c:crossBetween val="midCat"/>
      </c:valAx>
      <c:valAx>
        <c:axId val="168224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253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Serial</a:t>
            </a:r>
            <a:r>
              <a:rPr lang="en-US" baseline="0"/>
              <a:t> Scaling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'K2 E50'!$D$22</c:f>
              <c:strCache>
                <c:ptCount val="1"/>
                <c:pt idx="0">
                  <c:v>n_2_20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'K2 E50'!$D$23:$D$30</c:f>
              <c:numCache>
                <c:formatCode>General</c:formatCode>
                <c:ptCount val="8"/>
                <c:pt idx="0">
                  <c:v>4.3851199999999997</c:v>
                </c:pt>
                <c:pt idx="1">
                  <c:v>4.3852700000000002</c:v>
                </c:pt>
                <c:pt idx="2">
                  <c:v>4.4037699999999997</c:v>
                </c:pt>
                <c:pt idx="3">
                  <c:v>4.39581</c:v>
                </c:pt>
                <c:pt idx="4">
                  <c:v>4.4049399999999999</c:v>
                </c:pt>
                <c:pt idx="5">
                  <c:v>4.40313</c:v>
                </c:pt>
                <c:pt idx="6">
                  <c:v>4.3912500000000003</c:v>
                </c:pt>
                <c:pt idx="7">
                  <c:v>4.3993399999999996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44-422E-9CFF-BEFA53C17E66}"/>
            </c:ext>
          </c:extLst>
        </c:ser>
        <c:ser>
          <c:idx val="1"/>
          <c:order val="1"/>
          <c:tx>
            <c:strRef>
              <c:f>'K2 E50'!$E$22</c:f>
              <c:strCache>
                <c:ptCount val="1"/>
                <c:pt idx="0">
                  <c:v>n_2_19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'K2 E50'!$E$23:$E$30</c:f>
              <c:numCache>
                <c:formatCode>General</c:formatCode>
                <c:ptCount val="8"/>
                <c:pt idx="0">
                  <c:v>2.1951299999999998</c:v>
                </c:pt>
                <c:pt idx="1">
                  <c:v>2.1959399999999998</c:v>
                </c:pt>
                <c:pt idx="2">
                  <c:v>2.1955300000000002</c:v>
                </c:pt>
                <c:pt idx="3">
                  <c:v>2.2028300000000001</c:v>
                </c:pt>
                <c:pt idx="4">
                  <c:v>2.1963699999999999</c:v>
                </c:pt>
                <c:pt idx="5">
                  <c:v>2.1974300000000002</c:v>
                </c:pt>
                <c:pt idx="6">
                  <c:v>2.1939000000000002</c:v>
                </c:pt>
                <c:pt idx="7">
                  <c:v>2.2014999999999998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44-422E-9CFF-BEFA53C17E66}"/>
            </c:ext>
          </c:extLst>
        </c:ser>
        <c:ser>
          <c:idx val="2"/>
          <c:order val="2"/>
          <c:tx>
            <c:strRef>
              <c:f>'K2 E50'!$F$22</c:f>
              <c:strCache>
                <c:ptCount val="1"/>
                <c:pt idx="0">
                  <c:v>n_2_18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'K2 E50'!$F$23:$F$30</c:f>
              <c:numCache>
                <c:formatCode>General</c:formatCode>
                <c:ptCount val="8"/>
                <c:pt idx="0">
                  <c:v>1.09998</c:v>
                </c:pt>
                <c:pt idx="1">
                  <c:v>1.09948</c:v>
                </c:pt>
                <c:pt idx="2">
                  <c:v>1.0838000000000001</c:v>
                </c:pt>
                <c:pt idx="3">
                  <c:v>1.07691</c:v>
                </c:pt>
                <c:pt idx="4">
                  <c:v>1.0892500000000001</c:v>
                </c:pt>
                <c:pt idx="5">
                  <c:v>1.09718</c:v>
                </c:pt>
                <c:pt idx="6">
                  <c:v>1.0893999999999999</c:v>
                </c:pt>
                <c:pt idx="7">
                  <c:v>1.09137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44-422E-9CFF-BEFA53C17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9666975"/>
        <c:axId val="1689665535"/>
      </c:lineChart>
      <c:catAx>
        <c:axId val="1689666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665535"/>
        <c:crosses val="autoZero"/>
        <c:auto val="1"/>
        <c:lblAlgn val="ctr"/>
        <c:lblOffset val="100"/>
        <c:noMultiLvlLbl val="0"/>
      </c:catAx>
      <c:valAx>
        <c:axId val="168966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(Seconds)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66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GPU</a:t>
            </a:r>
            <a:r>
              <a:rPr lang="en-US" baseline="0"/>
              <a:t> Scaling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'K2 E50'!$P$1</c:f>
              <c:strCache>
                <c:ptCount val="1"/>
                <c:pt idx="0">
                  <c:v>n_2_20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'K2 E50'!$M$2:$M$4</c:f>
              <c:numCache>
                <c:formatCode>General</c:formatCode>
                <c:ptCount val="3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</c:numCache>
            </c:numRef>
          </c:cat>
          <c:val>
            <c:numRef>
              <c:f>'K2 E50'!$P$2:$P$4</c:f>
              <c:numCache>
                <c:formatCode>General</c:formatCode>
                <c:ptCount val="3"/>
                <c:pt idx="0">
                  <c:v>0.28099000000000002</c:v>
                </c:pt>
                <c:pt idx="1">
                  <c:v>0.35623700000000003</c:v>
                </c:pt>
                <c:pt idx="2">
                  <c:v>0.75945200000000002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9F-407D-872B-C605B5D020D5}"/>
            </c:ext>
          </c:extLst>
        </c:ser>
        <c:ser>
          <c:idx val="1"/>
          <c:order val="1"/>
          <c:tx>
            <c:strRef>
              <c:f>'K2 E50'!$Q$1</c:f>
              <c:strCache>
                <c:ptCount val="1"/>
                <c:pt idx="0">
                  <c:v>n_2_19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'K2 E50'!$M$2:$M$4</c:f>
              <c:numCache>
                <c:formatCode>General</c:formatCode>
                <c:ptCount val="3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</c:numCache>
            </c:numRef>
          </c:cat>
          <c:val>
            <c:numRef>
              <c:f>'K2 E50'!$Q$2:$Q$4</c:f>
              <c:numCache>
                <c:formatCode>General</c:formatCode>
                <c:ptCount val="3"/>
                <c:pt idx="0">
                  <c:v>0.21544199999999999</c:v>
                </c:pt>
                <c:pt idx="1">
                  <c:v>0.25212499999999999</c:v>
                </c:pt>
                <c:pt idx="2">
                  <c:v>0.44894499999999998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9F-407D-872B-C605B5D020D5}"/>
            </c:ext>
          </c:extLst>
        </c:ser>
        <c:ser>
          <c:idx val="2"/>
          <c:order val="2"/>
          <c:tx>
            <c:strRef>
              <c:f>'K2 E50'!$R$1</c:f>
              <c:strCache>
                <c:ptCount val="1"/>
                <c:pt idx="0">
                  <c:v>n_2_18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'K2 E50'!$M$2:$M$4</c:f>
              <c:numCache>
                <c:formatCode>General</c:formatCode>
                <c:ptCount val="3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</c:numCache>
            </c:numRef>
          </c:cat>
          <c:val>
            <c:numRef>
              <c:f>'K2 E50'!$R$2:$R$4</c:f>
              <c:numCache>
                <c:formatCode>General</c:formatCode>
                <c:ptCount val="3"/>
                <c:pt idx="0">
                  <c:v>0.18967500000000001</c:v>
                </c:pt>
                <c:pt idx="1">
                  <c:v>0.19372300000000001</c:v>
                </c:pt>
                <c:pt idx="2">
                  <c:v>0.36229899999999998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9F-407D-872B-C605B5D02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8098511"/>
        <c:axId val="278094671"/>
      </c:lineChart>
      <c:catAx>
        <c:axId val="278098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Block</a:t>
                </a:r>
                <a:r>
                  <a:rPr lang="en-US" baseline="0"/>
                  <a:t>size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094671"/>
        <c:crosses val="autoZero"/>
        <c:auto val="1"/>
        <c:lblAlgn val="ctr"/>
        <c:lblOffset val="100"/>
        <c:noMultiLvlLbl val="0"/>
      </c:catAx>
      <c:valAx>
        <c:axId val="27809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(Seconds)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09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Distribute</a:t>
            </a:r>
            <a:r>
              <a:rPr lang="en-US" baseline="0"/>
              <a:t> GPU Block 1024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'K2 E50'!$V$1</c:f>
              <c:strCache>
                <c:ptCount val="1"/>
                <c:pt idx="0">
                  <c:v>n_2_20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'K2 E50'!$V$2:$V$5</c15:sqref>
                  </c15:fullRef>
                </c:ext>
              </c:extLst>
              <c:f>'K2 E50'!$V$3:$V$5</c:f>
              <c:numCache>
                <c:formatCode>General</c:formatCode>
                <c:ptCount val="3"/>
                <c:pt idx="0">
                  <c:v>0.31820300000000001</c:v>
                </c:pt>
                <c:pt idx="1">
                  <c:v>0.41378700000000002</c:v>
                </c:pt>
                <c:pt idx="2">
                  <c:v>0.34168399999999999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4F-4E57-A94E-4A4C2AD28265}"/>
            </c:ext>
          </c:extLst>
        </c:ser>
        <c:ser>
          <c:idx val="1"/>
          <c:order val="1"/>
          <c:tx>
            <c:strRef>
              <c:f>'K2 E50'!$W$1</c:f>
              <c:strCache>
                <c:ptCount val="1"/>
                <c:pt idx="0">
                  <c:v>n_2_19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'K2 E50'!$W$2:$W$5</c15:sqref>
                  </c15:fullRef>
                </c:ext>
              </c:extLst>
              <c:f>'K2 E50'!$W$3:$W$5</c:f>
              <c:numCache>
                <c:formatCode>General</c:formatCode>
                <c:ptCount val="3"/>
                <c:pt idx="0">
                  <c:v>0.16930000000000001</c:v>
                </c:pt>
                <c:pt idx="1">
                  <c:v>0.21575</c:v>
                </c:pt>
                <c:pt idx="2">
                  <c:v>0.22053900000000001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4F-4E57-A94E-4A4C2AD28265}"/>
            </c:ext>
          </c:extLst>
        </c:ser>
        <c:ser>
          <c:idx val="2"/>
          <c:order val="2"/>
          <c:tx>
            <c:strRef>
              <c:f>'K2 E50'!$X$1</c:f>
              <c:strCache>
                <c:ptCount val="1"/>
                <c:pt idx="0">
                  <c:v>n_2_18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'K2 E50'!$X$2:$X$5</c15:sqref>
                  </c15:fullRef>
                </c:ext>
              </c:extLst>
              <c:f>'K2 E50'!$X$3:$X$5</c:f>
              <c:numCache>
                <c:formatCode>General</c:formatCode>
                <c:ptCount val="3"/>
                <c:pt idx="0">
                  <c:v>8.9826100000000006E-2</c:v>
                </c:pt>
                <c:pt idx="1">
                  <c:v>0.12363399999999999</c:v>
                </c:pt>
                <c:pt idx="2">
                  <c:v>0.14854200000000001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4F-4E57-A94E-4A4C2AD28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541455"/>
        <c:axId val="137560175"/>
      </c:lineChart>
      <c:catAx>
        <c:axId val="137541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Devices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60175"/>
        <c:crosses val="autoZero"/>
        <c:auto val="1"/>
        <c:lblAlgn val="ctr"/>
        <c:lblOffset val="100"/>
        <c:noMultiLvlLbl val="0"/>
      </c:catAx>
      <c:valAx>
        <c:axId val="13756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4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Distribute GPU Block 256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'K2 E50'!$AB$1</c:f>
              <c:strCache>
                <c:ptCount val="1"/>
                <c:pt idx="0">
                  <c:v>n_2_20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'K2 E50'!$AB$2:$AB$5</c15:sqref>
                  </c15:fullRef>
                </c:ext>
              </c:extLst>
              <c:f>'K2 E50'!$AB$3:$AB$5</c:f>
              <c:numCache>
                <c:formatCode>General</c:formatCode>
                <c:ptCount val="3"/>
                <c:pt idx="0">
                  <c:v>0.100396</c:v>
                </c:pt>
                <c:pt idx="1">
                  <c:v>0.13641</c:v>
                </c:pt>
                <c:pt idx="2">
                  <c:v>0.150009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83-41F0-8FFE-2A4A5555C32F}"/>
            </c:ext>
          </c:extLst>
        </c:ser>
        <c:ser>
          <c:idx val="1"/>
          <c:order val="1"/>
          <c:tx>
            <c:strRef>
              <c:f>'K2 E50'!$AC$1</c:f>
              <c:strCache>
                <c:ptCount val="1"/>
                <c:pt idx="0">
                  <c:v>n_2_19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'K2 E50'!$AC$2:$AC$5</c15:sqref>
                  </c15:fullRef>
                </c:ext>
              </c:extLst>
              <c:f>'K2 E50'!$AC$3:$AC$5</c:f>
              <c:numCache>
                <c:formatCode>General</c:formatCode>
                <c:ptCount val="3"/>
                <c:pt idx="0">
                  <c:v>5.9180000000000003E-2</c:v>
                </c:pt>
                <c:pt idx="1">
                  <c:v>8.4665199999999996E-2</c:v>
                </c:pt>
                <c:pt idx="2">
                  <c:v>9.3718999999999997E-2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83-41F0-8FFE-2A4A5555C32F}"/>
            </c:ext>
          </c:extLst>
        </c:ser>
        <c:ser>
          <c:idx val="2"/>
          <c:order val="2"/>
          <c:tx>
            <c:strRef>
              <c:f>'K2 E50'!$AD$1</c:f>
              <c:strCache>
                <c:ptCount val="1"/>
                <c:pt idx="0">
                  <c:v>n_2_18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'K2 E50'!$AD$2:$AD$5</c15:sqref>
                  </c15:fullRef>
                </c:ext>
              </c:extLst>
              <c:f>'K2 E50'!$AD$3:$AD$5</c:f>
              <c:numCache>
                <c:formatCode>General</c:formatCode>
                <c:ptCount val="3"/>
                <c:pt idx="0">
                  <c:v>4.25986E-2</c:v>
                </c:pt>
                <c:pt idx="1">
                  <c:v>5.2323700000000001E-2</c:v>
                </c:pt>
                <c:pt idx="2">
                  <c:v>5.8287100000000001E-2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83-41F0-8FFE-2A4A5555C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934175"/>
        <c:axId val="142958175"/>
      </c:lineChart>
      <c:catAx>
        <c:axId val="142934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Devices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58175"/>
        <c:crosses val="autoZero"/>
        <c:auto val="1"/>
        <c:lblAlgn val="ctr"/>
        <c:lblOffset val="100"/>
        <c:noMultiLvlLbl val="0"/>
      </c:catAx>
      <c:valAx>
        <c:axId val="14295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(Seconds)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3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Distribute GPU Block 64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'K2 E50'!$AH$1</c:f>
              <c:strCache>
                <c:ptCount val="1"/>
                <c:pt idx="0">
                  <c:v>n_2_20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'K2 E50'!$AH$2:$AH$5</c15:sqref>
                  </c15:fullRef>
                </c:ext>
              </c:extLst>
              <c:f>'K2 E50'!$AH$3:$AH$5</c:f>
              <c:numCache>
                <c:formatCode>General</c:formatCode>
                <c:ptCount val="3"/>
                <c:pt idx="0">
                  <c:v>6.5063800000000005E-2</c:v>
                </c:pt>
                <c:pt idx="1">
                  <c:v>7.2802000000000006E-2</c:v>
                </c:pt>
                <c:pt idx="2">
                  <c:v>8.0377199999999996E-2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96-4AA8-8736-5477D7B31617}"/>
            </c:ext>
          </c:extLst>
        </c:ser>
        <c:ser>
          <c:idx val="1"/>
          <c:order val="1"/>
          <c:tx>
            <c:strRef>
              <c:f>'K2 E50'!$AI$1</c:f>
              <c:strCache>
                <c:ptCount val="1"/>
                <c:pt idx="0">
                  <c:v>n_2_19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'K2 E50'!$AI$2:$AI$5</c15:sqref>
                  </c15:fullRef>
                </c:ext>
              </c:extLst>
              <c:f>'K2 E50'!$AI$3:$AI$5</c:f>
              <c:numCache>
                <c:formatCode>General</c:formatCode>
                <c:ptCount val="3"/>
                <c:pt idx="0">
                  <c:v>4.0822700000000003E-2</c:v>
                </c:pt>
                <c:pt idx="1">
                  <c:v>4.6121799999999998E-2</c:v>
                </c:pt>
                <c:pt idx="2">
                  <c:v>4.86785E-2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96-4AA8-8736-5477D7B31617}"/>
            </c:ext>
          </c:extLst>
        </c:ser>
        <c:ser>
          <c:idx val="2"/>
          <c:order val="2"/>
          <c:tx>
            <c:strRef>
              <c:f>'K2 E50'!$AJ$1</c:f>
              <c:strCache>
                <c:ptCount val="1"/>
                <c:pt idx="0">
                  <c:v>n_2_18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'K2 E50'!$AJ$2:$AJ$5</c15:sqref>
                  </c15:fullRef>
                </c:ext>
              </c:extLst>
              <c:f>'K2 E50'!$AJ$3:$AJ$5</c:f>
              <c:numCache>
                <c:formatCode>General</c:formatCode>
                <c:ptCount val="3"/>
                <c:pt idx="0">
                  <c:v>2.827E-2</c:v>
                </c:pt>
                <c:pt idx="1">
                  <c:v>3.2312399999999998E-2</c:v>
                </c:pt>
                <c:pt idx="2">
                  <c:v>3.8438600000000003E-2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96-4AA8-8736-5477D7B31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403727"/>
        <c:axId val="139412847"/>
      </c:lineChart>
      <c:catAx>
        <c:axId val="139403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Devices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12847"/>
        <c:crosses val="autoZero"/>
        <c:auto val="1"/>
        <c:lblAlgn val="ctr"/>
        <c:lblOffset val="100"/>
        <c:noMultiLvlLbl val="0"/>
      </c:catAx>
      <c:valAx>
        <c:axId val="13941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(Seconds)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0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'K2 E100'!$B$1</c:f>
              <c:strCache>
                <c:ptCount val="1"/>
                <c:pt idx="0">
                  <c:v>Parallel  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'K2 E100'!$A$2:$A$9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'K2 E100'!$B$2:$B$9</c:f>
              <c:numCache>
                <c:formatCode>0.00</c:formatCode>
                <c:ptCount val="8"/>
                <c:pt idx="0">
                  <c:v>1.3905940962255732</c:v>
                </c:pt>
                <c:pt idx="1">
                  <c:v>1.7797121810114913</c:v>
                </c:pt>
                <c:pt idx="2">
                  <c:v>1.6756523730729207</c:v>
                </c:pt>
                <c:pt idx="3">
                  <c:v>1.7770746097373373</c:v>
                </c:pt>
                <c:pt idx="4">
                  <c:v>1.6851390078095401</c:v>
                </c:pt>
                <c:pt idx="5">
                  <c:v>1.7092223254900567</c:v>
                </c:pt>
                <c:pt idx="6">
                  <c:v>1.6724935353645789</c:v>
                </c:pt>
                <c:pt idx="7">
                  <c:v>1.7133730776932659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66-4FBC-928F-582F367C0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8949919"/>
        <c:axId val="1138906239"/>
      </c:scatterChart>
      <c:valAx>
        <c:axId val="113894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906239"/>
        <c:crosses val="autoZero"/>
        <c:crossBetween val="midCat"/>
      </c:valAx>
      <c:valAx>
        <c:axId val="113890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94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Serial</a:t>
            </a:r>
            <a:r>
              <a:rPr lang="en-US" baseline="0"/>
              <a:t> Scaling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'K2 E100'!$D$22</c:f>
              <c:strCache>
                <c:ptCount val="1"/>
                <c:pt idx="0">
                  <c:v>n_2_20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'K2 E100'!$D$23:$D$30</c:f>
              <c:numCache>
                <c:formatCode>General</c:formatCode>
                <c:ptCount val="8"/>
                <c:pt idx="0">
                  <c:v>8.8010900000000003</c:v>
                </c:pt>
                <c:pt idx="1">
                  <c:v>8.7691400000000002</c:v>
                </c:pt>
                <c:pt idx="2">
                  <c:v>8.7808399999999995</c:v>
                </c:pt>
                <c:pt idx="3">
                  <c:v>8.7640600000000006</c:v>
                </c:pt>
                <c:pt idx="4">
                  <c:v>8.7616200000000006</c:v>
                </c:pt>
                <c:pt idx="5">
                  <c:v>8.7829200000000007</c:v>
                </c:pt>
                <c:pt idx="6">
                  <c:v>8.7691700000000008</c:v>
                </c:pt>
                <c:pt idx="7">
                  <c:v>8.7722200000000008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19-43DF-B361-D976637A9010}"/>
            </c:ext>
          </c:extLst>
        </c:ser>
        <c:ser>
          <c:idx val="1"/>
          <c:order val="1"/>
          <c:tx>
            <c:strRef>
              <c:f>'K2 E100'!$E$22</c:f>
              <c:strCache>
                <c:ptCount val="1"/>
                <c:pt idx="0">
                  <c:v>n_2_19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'K2 E100'!$E$23:$E$30</c:f>
              <c:numCache>
                <c:formatCode>General</c:formatCode>
                <c:ptCount val="8"/>
                <c:pt idx="0">
                  <c:v>4.3698699999999997</c:v>
                </c:pt>
                <c:pt idx="1">
                  <c:v>4.3714500000000003</c:v>
                </c:pt>
                <c:pt idx="2">
                  <c:v>4.3675300000000004</c:v>
                </c:pt>
                <c:pt idx="3">
                  <c:v>4.3700200000000002</c:v>
                </c:pt>
                <c:pt idx="4">
                  <c:v>4.36944</c:v>
                </c:pt>
                <c:pt idx="5">
                  <c:v>4.36212</c:v>
                </c:pt>
                <c:pt idx="6">
                  <c:v>4.36754</c:v>
                </c:pt>
                <c:pt idx="7">
                  <c:v>4.3708400000000003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19-43DF-B361-D976637A9010}"/>
            </c:ext>
          </c:extLst>
        </c:ser>
        <c:ser>
          <c:idx val="2"/>
          <c:order val="2"/>
          <c:tx>
            <c:strRef>
              <c:f>'K2 E100'!$F$22</c:f>
              <c:strCache>
                <c:ptCount val="1"/>
                <c:pt idx="0">
                  <c:v>n_2_18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'K2 E100'!$F$23:$F$30</c:f>
              <c:numCache>
                <c:formatCode>General</c:formatCode>
                <c:ptCount val="8"/>
                <c:pt idx="0">
                  <c:v>2.1400999999999999</c:v>
                </c:pt>
                <c:pt idx="1">
                  <c:v>2.13916</c:v>
                </c:pt>
                <c:pt idx="2">
                  <c:v>2.1516899999999999</c:v>
                </c:pt>
                <c:pt idx="3">
                  <c:v>2.1391499999999999</c:v>
                </c:pt>
                <c:pt idx="4">
                  <c:v>2.1382599999999998</c:v>
                </c:pt>
                <c:pt idx="5">
                  <c:v>2.1403400000000001</c:v>
                </c:pt>
                <c:pt idx="6">
                  <c:v>2.14425</c:v>
                </c:pt>
                <c:pt idx="7">
                  <c:v>2.1414200000000001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19-43DF-B361-D976637A9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485871"/>
        <c:axId val="161492591"/>
      </c:lineChart>
      <c:catAx>
        <c:axId val="161485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92591"/>
        <c:crosses val="autoZero"/>
        <c:auto val="1"/>
        <c:lblAlgn val="ctr"/>
        <c:lblOffset val="100"/>
        <c:noMultiLvlLbl val="0"/>
      </c:catAx>
      <c:valAx>
        <c:axId val="16149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(Seconds)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8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'K2 E100'!$C$1</c:f>
              <c:strCache>
                <c:ptCount val="1"/>
                <c:pt idx="0">
                  <c:v>Parallel Efficiency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'K2 E100'!$A$2:$A$9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'K2 E100'!$C$2:$C$9</c:f>
              <c:numCache>
                <c:formatCode>General</c:formatCode>
                <c:ptCount val="8"/>
                <c:pt idx="0">
                  <c:v>1.3905940962255732</c:v>
                </c:pt>
                <c:pt idx="1">
                  <c:v>0.88985609050574566</c:v>
                </c:pt>
                <c:pt idx="2">
                  <c:v>0.55855079102430694</c:v>
                </c:pt>
                <c:pt idx="3">
                  <c:v>0.44426865243433433</c:v>
                </c:pt>
                <c:pt idx="4">
                  <c:v>0.33702780156190804</c:v>
                </c:pt>
                <c:pt idx="5">
                  <c:v>0.2848703875816761</c:v>
                </c:pt>
                <c:pt idx="6">
                  <c:v>0.23892764790922555</c:v>
                </c:pt>
                <c:pt idx="7">
                  <c:v>0.21417163471165823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95-49F0-B0C1-8BEEF1E71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8833743"/>
        <c:axId val="2028836623"/>
      </c:scatterChart>
      <c:valAx>
        <c:axId val="2028833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836623"/>
        <c:crosses val="autoZero"/>
        <c:crossBetween val="midCat"/>
      </c:valAx>
      <c:valAx>
        <c:axId val="202883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(Seconds)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833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GPU</a:t>
            </a:r>
            <a:r>
              <a:rPr lang="en-US" baseline="0"/>
              <a:t> Scaling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'K2 E100'!$P$1</c:f>
              <c:strCache>
                <c:ptCount val="1"/>
                <c:pt idx="0">
                  <c:v>n_2_20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'K2 E100'!$M$2:$M$4</c:f>
              <c:numCache>
                <c:formatCode>General</c:formatCode>
                <c:ptCount val="3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</c:numCache>
            </c:numRef>
          </c:cat>
          <c:val>
            <c:numRef>
              <c:f>'K2 E100'!$P$2:$P$4</c:f>
              <c:numCache>
                <c:formatCode>General</c:formatCode>
                <c:ptCount val="3"/>
                <c:pt idx="0">
                  <c:v>0.35366300000000001</c:v>
                </c:pt>
                <c:pt idx="1">
                  <c:v>0.53966499999999995</c:v>
                </c:pt>
                <c:pt idx="2">
                  <c:v>1.3381700000000001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9F-407D-872B-C605B5D020D5}"/>
            </c:ext>
          </c:extLst>
        </c:ser>
        <c:ser>
          <c:idx val="1"/>
          <c:order val="1"/>
          <c:tx>
            <c:strRef>
              <c:f>'K2 E100'!$Q$1</c:f>
              <c:strCache>
                <c:ptCount val="1"/>
                <c:pt idx="0">
                  <c:v>n_2_19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'K2 E100'!$M$2:$M$4</c:f>
              <c:numCache>
                <c:formatCode>General</c:formatCode>
                <c:ptCount val="3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</c:numCache>
            </c:numRef>
          </c:cat>
          <c:val>
            <c:numRef>
              <c:f>'K2 E100'!$Q$2:$Q$4</c:f>
              <c:numCache>
                <c:formatCode>General</c:formatCode>
                <c:ptCount val="3"/>
                <c:pt idx="0">
                  <c:v>0.25898900000000002</c:v>
                </c:pt>
                <c:pt idx="1">
                  <c:v>0.33545199999999997</c:v>
                </c:pt>
                <c:pt idx="2">
                  <c:v>0.74514899999999995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9F-407D-872B-C605B5D020D5}"/>
            </c:ext>
          </c:extLst>
        </c:ser>
        <c:ser>
          <c:idx val="2"/>
          <c:order val="2"/>
          <c:tx>
            <c:strRef>
              <c:f>'K2 E100'!$R$1</c:f>
              <c:strCache>
                <c:ptCount val="1"/>
                <c:pt idx="0">
                  <c:v>n_2_18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'K2 E100'!$M$2:$M$4</c:f>
              <c:numCache>
                <c:formatCode>General</c:formatCode>
                <c:ptCount val="3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</c:numCache>
            </c:numRef>
          </c:cat>
          <c:val>
            <c:numRef>
              <c:f>'K2 E100'!$R$2:$R$4</c:f>
              <c:numCache>
                <c:formatCode>General</c:formatCode>
                <c:ptCount val="3"/>
                <c:pt idx="0">
                  <c:v>0.195934</c:v>
                </c:pt>
                <c:pt idx="1">
                  <c:v>0.25651600000000002</c:v>
                </c:pt>
                <c:pt idx="2">
                  <c:v>0.46776099999999998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9F-407D-872B-C605B5D02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8098511"/>
        <c:axId val="278094671"/>
      </c:lineChart>
      <c:catAx>
        <c:axId val="278098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Block</a:t>
                </a:r>
                <a:r>
                  <a:rPr lang="en-US" baseline="0"/>
                  <a:t>size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094671"/>
        <c:crosses val="autoZero"/>
        <c:auto val="1"/>
        <c:lblAlgn val="ctr"/>
        <c:lblOffset val="100"/>
        <c:noMultiLvlLbl val="0"/>
      </c:catAx>
      <c:valAx>
        <c:axId val="27809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09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Distribute GPU Block 1024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'K2 E100'!$V$1</c:f>
              <c:strCache>
                <c:ptCount val="1"/>
                <c:pt idx="0">
                  <c:v>n_2_20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'K2 E100'!$V$2:$V$5</c15:sqref>
                  </c15:fullRef>
                </c:ext>
              </c:extLst>
              <c:f>'K2 E100'!$V$3:$V$5</c:f>
              <c:numCache>
                <c:formatCode>General</c:formatCode>
                <c:ptCount val="3"/>
                <c:pt idx="0">
                  <c:v>0.64312899999999995</c:v>
                </c:pt>
                <c:pt idx="1">
                  <c:v>0.81570500000000001</c:v>
                </c:pt>
                <c:pt idx="2">
                  <c:v>0.67291900000000004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6E-41D7-A711-F0D1DBDC6A68}"/>
            </c:ext>
          </c:extLst>
        </c:ser>
        <c:ser>
          <c:idx val="1"/>
          <c:order val="1"/>
          <c:tx>
            <c:strRef>
              <c:f>'K2 E100'!$W$1</c:f>
              <c:strCache>
                <c:ptCount val="1"/>
                <c:pt idx="0">
                  <c:v>n_2_19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'K2 E100'!$W$2:$W$5</c15:sqref>
                  </c15:fullRef>
                </c:ext>
              </c:extLst>
              <c:f>'K2 E100'!$W$3:$W$5</c:f>
              <c:numCache>
                <c:formatCode>General</c:formatCode>
                <c:ptCount val="3"/>
                <c:pt idx="0">
                  <c:v>0.32638899999999998</c:v>
                </c:pt>
                <c:pt idx="1">
                  <c:v>0.42348599999999997</c:v>
                </c:pt>
                <c:pt idx="2">
                  <c:v>0.405615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6E-41D7-A711-F0D1DBDC6A68}"/>
            </c:ext>
          </c:extLst>
        </c:ser>
        <c:ser>
          <c:idx val="2"/>
          <c:order val="2"/>
          <c:tx>
            <c:strRef>
              <c:f>'K2 E100'!$X$1</c:f>
              <c:strCache>
                <c:ptCount val="1"/>
                <c:pt idx="0">
                  <c:v>n_2_18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'K2 E100'!$X$2:$X$5</c15:sqref>
                  </c15:fullRef>
                </c:ext>
              </c:extLst>
              <c:f>'K2 E100'!$X$3:$X$5</c:f>
              <c:numCache>
                <c:formatCode>General</c:formatCode>
                <c:ptCount val="3"/>
                <c:pt idx="0">
                  <c:v>0.17841399999999999</c:v>
                </c:pt>
                <c:pt idx="1">
                  <c:v>0.24854799999999999</c:v>
                </c:pt>
                <c:pt idx="2">
                  <c:v>0.30444100000000002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6E-41D7-A711-F0D1DBDC6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166703"/>
        <c:axId val="69155663"/>
      </c:lineChart>
      <c:catAx>
        <c:axId val="69166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Devices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55663"/>
        <c:crosses val="autoZero"/>
        <c:auto val="1"/>
        <c:lblAlgn val="ctr"/>
        <c:lblOffset val="100"/>
        <c:noMultiLvlLbl val="0"/>
      </c:catAx>
      <c:valAx>
        <c:axId val="6915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(Seconds)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6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Distribute GPU Block 256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'K2 E100'!$AB$1</c:f>
              <c:strCache>
                <c:ptCount val="1"/>
                <c:pt idx="0">
                  <c:v>n_2_20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'K2 E100'!$AB$2:$AB$5</c15:sqref>
                  </c15:fullRef>
                </c:ext>
              </c:extLst>
              <c:f>'K2 E100'!$AB$3:$AB$5</c:f>
              <c:numCache>
                <c:formatCode>General</c:formatCode>
                <c:ptCount val="3"/>
                <c:pt idx="0">
                  <c:v>0.19478100000000001</c:v>
                </c:pt>
                <c:pt idx="1">
                  <c:v>0.26370500000000002</c:v>
                </c:pt>
                <c:pt idx="2">
                  <c:v>0.29738999999999999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1B-4045-8729-792D4865D610}"/>
            </c:ext>
          </c:extLst>
        </c:ser>
        <c:ser>
          <c:idx val="1"/>
          <c:order val="1"/>
          <c:tx>
            <c:strRef>
              <c:f>'K2 E100'!$AC$1</c:f>
              <c:strCache>
                <c:ptCount val="1"/>
                <c:pt idx="0">
                  <c:v>n_2_19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'K2 E100'!$AC$2:$AC$5</c15:sqref>
                  </c15:fullRef>
                </c:ext>
              </c:extLst>
              <c:f>'K2 E100'!$AC$3:$AC$5</c:f>
              <c:numCache>
                <c:formatCode>General</c:formatCode>
                <c:ptCount val="3"/>
                <c:pt idx="0">
                  <c:v>0.114949</c:v>
                </c:pt>
                <c:pt idx="1">
                  <c:v>0.161719</c:v>
                </c:pt>
                <c:pt idx="2">
                  <c:v>0.18013499999999999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1B-4045-8729-792D4865D610}"/>
            </c:ext>
          </c:extLst>
        </c:ser>
        <c:ser>
          <c:idx val="2"/>
          <c:order val="2"/>
          <c:tx>
            <c:strRef>
              <c:f>'K2 E100'!$AD$1</c:f>
              <c:strCache>
                <c:ptCount val="1"/>
                <c:pt idx="0">
                  <c:v>n_2_18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'K2 E100'!$AD$2:$AD$5</c15:sqref>
                  </c15:fullRef>
                </c:ext>
              </c:extLst>
              <c:f>'K2 E100'!$AD$3:$AD$5</c:f>
              <c:numCache>
                <c:formatCode>General</c:formatCode>
                <c:ptCount val="3"/>
                <c:pt idx="0">
                  <c:v>7.8693799999999994E-2</c:v>
                </c:pt>
                <c:pt idx="1">
                  <c:v>0.100129</c:v>
                </c:pt>
                <c:pt idx="2">
                  <c:v>0.122644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1B-4045-8729-792D4865D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92175"/>
        <c:axId val="12196975"/>
      </c:lineChart>
      <c:catAx>
        <c:axId val="12192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Devices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6975"/>
        <c:crosses val="autoZero"/>
        <c:auto val="1"/>
        <c:lblAlgn val="ctr"/>
        <c:lblOffset val="100"/>
        <c:noMultiLvlLbl val="0"/>
      </c:catAx>
      <c:valAx>
        <c:axId val="1219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(Seconds)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Distribute GPU Block 64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'K2 E100'!$AH$1</c:f>
              <c:strCache>
                <c:ptCount val="1"/>
                <c:pt idx="0">
                  <c:v>n_2_20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'K2 E100'!$AH$2:$AH$5</c15:sqref>
                  </c15:fullRef>
                </c:ext>
              </c:extLst>
              <c:f>'K2 E100'!$AH$3:$AH$5</c:f>
              <c:numCache>
                <c:formatCode>General</c:formatCode>
                <c:ptCount val="3"/>
                <c:pt idx="0">
                  <c:v>0.104643</c:v>
                </c:pt>
                <c:pt idx="1">
                  <c:v>0.137965</c:v>
                </c:pt>
                <c:pt idx="2">
                  <c:v>0.155499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64-4348-AF5E-BBFBFF17AD4E}"/>
            </c:ext>
          </c:extLst>
        </c:ser>
        <c:ser>
          <c:idx val="1"/>
          <c:order val="1"/>
          <c:tx>
            <c:strRef>
              <c:f>'K2 E100'!$AI$1</c:f>
              <c:strCache>
                <c:ptCount val="1"/>
                <c:pt idx="0">
                  <c:v>n_2_19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'K2 E100'!$AI$2:$AI$5</c15:sqref>
                  </c15:fullRef>
                </c:ext>
              </c:extLst>
              <c:f>'K2 E100'!$AI$3:$AI$5</c:f>
              <c:numCache>
                <c:formatCode>General</c:formatCode>
                <c:ptCount val="3"/>
                <c:pt idx="0">
                  <c:v>6.7962499999999995E-2</c:v>
                </c:pt>
                <c:pt idx="1">
                  <c:v>8.7709599999999999E-2</c:v>
                </c:pt>
                <c:pt idx="2">
                  <c:v>8.6534299999999995E-2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64-4348-AF5E-BBFBFF17AD4E}"/>
            </c:ext>
          </c:extLst>
        </c:ser>
        <c:ser>
          <c:idx val="2"/>
          <c:order val="2"/>
          <c:tx>
            <c:strRef>
              <c:f>'K2 E100'!$AJ$1</c:f>
              <c:strCache>
                <c:ptCount val="1"/>
                <c:pt idx="0">
                  <c:v>n_2_18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'K2 E100'!$AJ$2:$AJ$5</c15:sqref>
                  </c15:fullRef>
                </c:ext>
              </c:extLst>
              <c:f>'K2 E100'!$AJ$3:$AJ$5</c:f>
              <c:numCache>
                <c:formatCode>General</c:formatCode>
                <c:ptCount val="3"/>
                <c:pt idx="0">
                  <c:v>4.8247900000000003E-2</c:v>
                </c:pt>
                <c:pt idx="1">
                  <c:v>5.8695900000000002E-2</c:v>
                </c:pt>
                <c:pt idx="2">
                  <c:v>6.8262299999999998E-2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64-4348-AF5E-BBFBFF17A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758223"/>
        <c:axId val="194762543"/>
      </c:lineChart>
      <c:catAx>
        <c:axId val="19475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Devices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62543"/>
        <c:crosses val="autoZero"/>
        <c:auto val="1"/>
        <c:lblAlgn val="ctr"/>
        <c:lblOffset val="100"/>
        <c:noMultiLvlLbl val="0"/>
      </c:catAx>
      <c:valAx>
        <c:axId val="19476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(Seconds)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58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Parallel Scaling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'K2 E100'!$D$1</c:f>
              <c:strCache>
                <c:ptCount val="1"/>
                <c:pt idx="0">
                  <c:v>n_2_20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'K2 E100'!$D$2:$D$9</c:f>
              <c:numCache>
                <c:formatCode>General</c:formatCode>
                <c:ptCount val="8"/>
                <c:pt idx="0">
                  <c:v>6.3025900000000004</c:v>
                </c:pt>
                <c:pt idx="1">
                  <c:v>4.9273699999999998</c:v>
                </c:pt>
                <c:pt idx="2">
                  <c:v>5.2871699999999997</c:v>
                </c:pt>
                <c:pt idx="3">
                  <c:v>5.0702199999999999</c:v>
                </c:pt>
                <c:pt idx="4">
                  <c:v>5.2778900000000002</c:v>
                </c:pt>
                <c:pt idx="5">
                  <c:v>5.0957400000000002</c:v>
                </c:pt>
                <c:pt idx="6">
                  <c:v>5.2456399999999999</c:v>
                </c:pt>
                <c:pt idx="7">
                  <c:v>5.1335699999999997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E0-4274-B158-D05190BB21C3}"/>
            </c:ext>
          </c:extLst>
        </c:ser>
        <c:ser>
          <c:idx val="1"/>
          <c:order val="1"/>
          <c:tx>
            <c:strRef>
              <c:f>'K2 E100'!$E$1</c:f>
              <c:strCache>
                <c:ptCount val="1"/>
                <c:pt idx="0">
                  <c:v>n_2_19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'K2 E100'!$E$2:$E$9</c:f>
              <c:numCache>
                <c:formatCode>General</c:formatCode>
                <c:ptCount val="8"/>
                <c:pt idx="0">
                  <c:v>3.1543100000000002</c:v>
                </c:pt>
                <c:pt idx="1">
                  <c:v>2.45783</c:v>
                </c:pt>
                <c:pt idx="2">
                  <c:v>2.7105700000000001</c:v>
                </c:pt>
                <c:pt idx="3">
                  <c:v>2.5259299999999998</c:v>
                </c:pt>
                <c:pt idx="4">
                  <c:v>2.6559200000000001</c:v>
                </c:pt>
                <c:pt idx="5">
                  <c:v>2.6245400000000001</c:v>
                </c:pt>
                <c:pt idx="6">
                  <c:v>2.62608</c:v>
                </c:pt>
                <c:pt idx="7">
                  <c:v>2.5902099999999999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E0-4274-B158-D05190BB21C3}"/>
            </c:ext>
          </c:extLst>
        </c:ser>
        <c:ser>
          <c:idx val="2"/>
          <c:order val="2"/>
          <c:tx>
            <c:strRef>
              <c:f>'K2 E100'!$F$1</c:f>
              <c:strCache>
                <c:ptCount val="1"/>
                <c:pt idx="0">
                  <c:v>n_2_18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'K2 E100'!$F$2:$F$9</c:f>
              <c:numCache>
                <c:formatCode>General</c:formatCode>
                <c:ptCount val="8"/>
                <c:pt idx="0">
                  <c:v>1.5675300000000001</c:v>
                </c:pt>
                <c:pt idx="1">
                  <c:v>1.2262500000000001</c:v>
                </c:pt>
                <c:pt idx="2">
                  <c:v>1.35805</c:v>
                </c:pt>
                <c:pt idx="3">
                  <c:v>1.2666999999999999</c:v>
                </c:pt>
                <c:pt idx="4">
                  <c:v>1.3315399999999999</c:v>
                </c:pt>
                <c:pt idx="5">
                  <c:v>1.2682</c:v>
                </c:pt>
                <c:pt idx="6">
                  <c:v>1.3194699999999999</c:v>
                </c:pt>
                <c:pt idx="7">
                  <c:v>1.2821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E0-4274-B158-D05190BB2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5552080"/>
        <c:axId val="695550160"/>
      </c:lineChart>
      <c:catAx>
        <c:axId val="695552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550160"/>
        <c:crosses val="autoZero"/>
        <c:auto val="1"/>
        <c:lblAlgn val="ctr"/>
        <c:lblOffset val="100"/>
        <c:noMultiLvlLbl val="0"/>
      </c:catAx>
      <c:valAx>
        <c:axId val="69555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55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'K4 E25'!$B$1</c:f>
              <c:strCache>
                <c:ptCount val="1"/>
                <c:pt idx="0">
                  <c:v>Parallel  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'K4 E25'!$A$2:$A$9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'K4 E25'!$B$2:$B$9</c:f>
              <c:numCache>
                <c:formatCode>0.00</c:formatCode>
                <c:ptCount val="8"/>
                <c:pt idx="0">
                  <c:v>1.2008227676008822</c:v>
                </c:pt>
                <c:pt idx="1">
                  <c:v>1.6461118294809789</c:v>
                </c:pt>
                <c:pt idx="2">
                  <c:v>1.5500138656590956</c:v>
                </c:pt>
                <c:pt idx="3">
                  <c:v>1.5821174420507469</c:v>
                </c:pt>
                <c:pt idx="4">
                  <c:v>1.5586925547165371</c:v>
                </c:pt>
                <c:pt idx="5">
                  <c:v>1.5881933776716184</c:v>
                </c:pt>
                <c:pt idx="6">
                  <c:v>1.5324047498693443</c:v>
                </c:pt>
                <c:pt idx="7">
                  <c:v>1.5573625254139147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78-48DA-A07F-F18BC5F2B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085199"/>
        <c:axId val="12194575"/>
      </c:scatterChart>
      <c:valAx>
        <c:axId val="2015085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4575"/>
        <c:crosses val="autoZero"/>
        <c:crossBetween val="midCat"/>
      </c:valAx>
      <c:valAx>
        <c:axId val="1219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085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0949256342957"/>
          <c:y val="0.18097222222222226"/>
          <c:w val="0.84434951881014875"/>
          <c:h val="0.62308654126567509"/>
        </c:manualLayout>
      </c:layout>
      <c:lineChart>
        <c:grouping val="standard"/>
        <c:varyColors val="0"/>
        <c:ser>
          <c:idx val="0"/>
          <c:order val="0"/>
          <c:tx>
            <c:strRef>
              <c:f>'K4 E25'!$C$1</c:f>
              <c:strCache>
                <c:ptCount val="1"/>
                <c:pt idx="0">
                  <c:v>Parallel Efficiency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'K4 E25'!$C$2:$C$9</c:f>
              <c:numCache>
                <c:formatCode>General</c:formatCode>
                <c:ptCount val="8"/>
                <c:pt idx="0">
                  <c:v>1.2008227676008822</c:v>
                </c:pt>
                <c:pt idx="1">
                  <c:v>0.82305591474048945</c:v>
                </c:pt>
                <c:pt idx="2">
                  <c:v>0.5166712885530319</c:v>
                </c:pt>
                <c:pt idx="3">
                  <c:v>0.39552936051268672</c:v>
                </c:pt>
                <c:pt idx="4">
                  <c:v>0.3117385109433074</c:v>
                </c:pt>
                <c:pt idx="5">
                  <c:v>0.26469889627860305</c:v>
                </c:pt>
                <c:pt idx="6">
                  <c:v>0.21891496426704918</c:v>
                </c:pt>
                <c:pt idx="7">
                  <c:v>0.19467031567673934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59-403A-B3DA-0B1120B37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359343"/>
        <c:axId val="139361743"/>
      </c:lineChart>
      <c:catAx>
        <c:axId val="139359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61743"/>
        <c:crosses val="autoZero"/>
        <c:auto val="1"/>
        <c:lblAlgn val="ctr"/>
        <c:lblOffset val="100"/>
        <c:noMultiLvlLbl val="0"/>
      </c:catAx>
      <c:valAx>
        <c:axId val="13936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Efficiency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5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Serial</a:t>
            </a:r>
            <a:r>
              <a:rPr lang="en-US" baseline="0"/>
              <a:t> Scaling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'K4 E25'!$D$22</c:f>
              <c:strCache>
                <c:ptCount val="1"/>
                <c:pt idx="0">
                  <c:v>n_2_20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'K4 E25'!$D$23:$D$30</c:f>
              <c:numCache>
                <c:formatCode>General</c:formatCode>
                <c:ptCount val="8"/>
                <c:pt idx="0">
                  <c:v>3.1755800000000001</c:v>
                </c:pt>
                <c:pt idx="1">
                  <c:v>3.1993200000000002</c:v>
                </c:pt>
                <c:pt idx="2">
                  <c:v>3.13931</c:v>
                </c:pt>
                <c:pt idx="3">
                  <c:v>3.12364</c:v>
                </c:pt>
                <c:pt idx="4">
                  <c:v>3.1412399999999998</c:v>
                </c:pt>
                <c:pt idx="5">
                  <c:v>3.0671400000000002</c:v>
                </c:pt>
                <c:pt idx="6">
                  <c:v>3.1012499999999998</c:v>
                </c:pt>
                <c:pt idx="7">
                  <c:v>3.0722499999999999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41-4F70-9069-F77AFA6242BC}"/>
            </c:ext>
          </c:extLst>
        </c:ser>
        <c:ser>
          <c:idx val="1"/>
          <c:order val="1"/>
          <c:tx>
            <c:strRef>
              <c:f>'K4 E25'!$E$22</c:f>
              <c:strCache>
                <c:ptCount val="1"/>
                <c:pt idx="0">
                  <c:v>n_2_19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'K4 E25'!$E$23:$E$30</c:f>
              <c:numCache>
                <c:formatCode>General</c:formatCode>
                <c:ptCount val="8"/>
                <c:pt idx="0">
                  <c:v>1.59015</c:v>
                </c:pt>
                <c:pt idx="1">
                  <c:v>1.55558</c:v>
                </c:pt>
                <c:pt idx="2">
                  <c:v>1.56151</c:v>
                </c:pt>
                <c:pt idx="3">
                  <c:v>1.5699099999999999</c:v>
                </c:pt>
                <c:pt idx="4">
                  <c:v>1.54583</c:v>
                </c:pt>
                <c:pt idx="5">
                  <c:v>1.5965499999999999</c:v>
                </c:pt>
                <c:pt idx="6">
                  <c:v>1.5949500000000001</c:v>
                </c:pt>
                <c:pt idx="7">
                  <c:v>1.5729200000000001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41-4F70-9069-F77AFA6242BC}"/>
            </c:ext>
          </c:extLst>
        </c:ser>
        <c:ser>
          <c:idx val="2"/>
          <c:order val="2"/>
          <c:tx>
            <c:strRef>
              <c:f>'K4 E25'!$F$22</c:f>
              <c:strCache>
                <c:ptCount val="1"/>
                <c:pt idx="0">
                  <c:v>n_2_18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'K4 E25'!$F$23:$F$30</c:f>
              <c:numCache>
                <c:formatCode>General</c:formatCode>
                <c:ptCount val="8"/>
                <c:pt idx="0">
                  <c:v>0.75941700000000001</c:v>
                </c:pt>
                <c:pt idx="1">
                  <c:v>0.77666000000000002</c:v>
                </c:pt>
                <c:pt idx="2">
                  <c:v>0.78772399999999998</c:v>
                </c:pt>
                <c:pt idx="3">
                  <c:v>0.76821399999999995</c:v>
                </c:pt>
                <c:pt idx="4">
                  <c:v>0.76532299999999998</c:v>
                </c:pt>
                <c:pt idx="5">
                  <c:v>0.78099600000000002</c:v>
                </c:pt>
                <c:pt idx="6">
                  <c:v>0.76933700000000005</c:v>
                </c:pt>
                <c:pt idx="7">
                  <c:v>0.77054400000000001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41-4F70-9069-F77AFA624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60015"/>
        <c:axId val="14681135"/>
      </c:lineChart>
      <c:catAx>
        <c:axId val="14660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Ilteration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1135"/>
        <c:crosses val="autoZero"/>
        <c:auto val="1"/>
        <c:lblAlgn val="ctr"/>
        <c:lblOffset val="100"/>
        <c:noMultiLvlLbl val="0"/>
      </c:catAx>
      <c:valAx>
        <c:axId val="1468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(Seconds)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Parallel</a:t>
            </a:r>
            <a:r>
              <a:rPr lang="en-US" baseline="0"/>
              <a:t> Scaling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'K4 E25'!$D$1</c:f>
              <c:strCache>
                <c:ptCount val="1"/>
                <c:pt idx="0">
                  <c:v>n_2_20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'K4 E25'!$D$2:$D$9</c:f>
              <c:numCache>
                <c:formatCode>General</c:formatCode>
                <c:ptCount val="8"/>
                <c:pt idx="0">
                  <c:v>2.5230199999999998</c:v>
                </c:pt>
                <c:pt idx="1">
                  <c:v>1.88784</c:v>
                </c:pt>
                <c:pt idx="2">
                  <c:v>2.0032899999999998</c:v>
                </c:pt>
                <c:pt idx="3">
                  <c:v>1.9757899999999999</c:v>
                </c:pt>
                <c:pt idx="4">
                  <c:v>2.0284900000000001</c:v>
                </c:pt>
                <c:pt idx="5">
                  <c:v>1.9800199999999999</c:v>
                </c:pt>
                <c:pt idx="6">
                  <c:v>1.98644</c:v>
                </c:pt>
                <c:pt idx="7">
                  <c:v>1.9723299999999999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8-4C56-B53D-E87F34F2C17E}"/>
            </c:ext>
          </c:extLst>
        </c:ser>
        <c:ser>
          <c:idx val="1"/>
          <c:order val="1"/>
          <c:tx>
            <c:strRef>
              <c:f>'K4 E25'!$E$1</c:f>
              <c:strCache>
                <c:ptCount val="1"/>
                <c:pt idx="0">
                  <c:v>n_2_19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'K4 E25'!$E$2:$E$9</c:f>
              <c:numCache>
                <c:formatCode>General</c:formatCode>
                <c:ptCount val="8"/>
                <c:pt idx="0">
                  <c:v>1.2835700000000001</c:v>
                </c:pt>
                <c:pt idx="1">
                  <c:v>0.97621999999999998</c:v>
                </c:pt>
                <c:pt idx="2">
                  <c:v>1.03288</c:v>
                </c:pt>
                <c:pt idx="3">
                  <c:v>0.96287199999999995</c:v>
                </c:pt>
                <c:pt idx="4">
                  <c:v>1.0231699999999999</c:v>
                </c:pt>
                <c:pt idx="5">
                  <c:v>1.0017</c:v>
                </c:pt>
                <c:pt idx="6">
                  <c:v>1.01176</c:v>
                </c:pt>
                <c:pt idx="7">
                  <c:v>1.0104500000000001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8-4C56-B53D-E87F34F2C17E}"/>
            </c:ext>
          </c:extLst>
        </c:ser>
        <c:ser>
          <c:idx val="2"/>
          <c:order val="2"/>
          <c:tx>
            <c:strRef>
              <c:f>'K4 E25'!$F$1</c:f>
              <c:strCache>
                <c:ptCount val="1"/>
                <c:pt idx="0">
                  <c:v>n_2_18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'K4 E25'!$F$2:$F$9</c:f>
              <c:numCache>
                <c:formatCode>General</c:formatCode>
                <c:ptCount val="8"/>
                <c:pt idx="0">
                  <c:v>0.61633700000000002</c:v>
                </c:pt>
                <c:pt idx="1">
                  <c:v>0.471941</c:v>
                </c:pt>
                <c:pt idx="2">
                  <c:v>0.53534400000000004</c:v>
                </c:pt>
                <c:pt idx="3">
                  <c:v>0.49740899999999999</c:v>
                </c:pt>
                <c:pt idx="4">
                  <c:v>0.50549699999999997</c:v>
                </c:pt>
                <c:pt idx="5">
                  <c:v>0.49111300000000002</c:v>
                </c:pt>
                <c:pt idx="6">
                  <c:v>0.50489899999999999</c:v>
                </c:pt>
                <c:pt idx="7">
                  <c:v>0.50875400000000004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8-4C56-B53D-E87F34F2C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358383"/>
        <c:axId val="139363183"/>
      </c:lineChart>
      <c:catAx>
        <c:axId val="139358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63183"/>
        <c:crosses val="autoZero"/>
        <c:auto val="1"/>
        <c:lblAlgn val="ctr"/>
        <c:lblOffset val="100"/>
        <c:noMultiLvlLbl val="0"/>
      </c:catAx>
      <c:valAx>
        <c:axId val="13936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(Seconds)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5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GPU</a:t>
            </a:r>
            <a:r>
              <a:rPr lang="en-US" baseline="0"/>
              <a:t> Scaling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'K4 E25'!$P$1</c:f>
              <c:strCache>
                <c:ptCount val="1"/>
                <c:pt idx="0">
                  <c:v>n_2_20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'K4 E25'!$M$2:$M$4</c:f>
              <c:numCache>
                <c:formatCode>General</c:formatCode>
                <c:ptCount val="3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</c:numCache>
            </c:numRef>
          </c:cat>
          <c:val>
            <c:numRef>
              <c:f>'K4 E25'!$P$2:$P$4</c:f>
              <c:numCache>
                <c:formatCode>General</c:formatCode>
                <c:ptCount val="3"/>
                <c:pt idx="0">
                  <c:v>0.23535700000000001</c:v>
                </c:pt>
                <c:pt idx="1">
                  <c:v>0.25405499999999998</c:v>
                </c:pt>
                <c:pt idx="2">
                  <c:v>0.34650900000000001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8A-443B-ADBE-FA14D0985102}"/>
            </c:ext>
          </c:extLst>
        </c:ser>
        <c:ser>
          <c:idx val="1"/>
          <c:order val="1"/>
          <c:tx>
            <c:strRef>
              <c:f>'K4 E25'!$Q$1</c:f>
              <c:strCache>
                <c:ptCount val="1"/>
                <c:pt idx="0">
                  <c:v>n_2_19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'K4 E25'!$M$2:$M$4</c:f>
              <c:numCache>
                <c:formatCode>General</c:formatCode>
                <c:ptCount val="3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</c:numCache>
            </c:numRef>
          </c:cat>
          <c:val>
            <c:numRef>
              <c:f>'K4 E25'!$Q$2:$Q$4</c:f>
              <c:numCache>
                <c:formatCode>General</c:formatCode>
                <c:ptCount val="3"/>
                <c:pt idx="0">
                  <c:v>0.18060200000000001</c:v>
                </c:pt>
                <c:pt idx="1">
                  <c:v>0.19875899999999999</c:v>
                </c:pt>
                <c:pt idx="2">
                  <c:v>0.259519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8A-443B-ADBE-FA14D0985102}"/>
            </c:ext>
          </c:extLst>
        </c:ser>
        <c:ser>
          <c:idx val="2"/>
          <c:order val="2"/>
          <c:tx>
            <c:strRef>
              <c:f>'K4 E25'!$R$1</c:f>
              <c:strCache>
                <c:ptCount val="1"/>
                <c:pt idx="0">
                  <c:v>n_2_18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'K4 E25'!$M$2:$M$4</c:f>
              <c:numCache>
                <c:formatCode>General</c:formatCode>
                <c:ptCount val="3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</c:numCache>
            </c:numRef>
          </c:cat>
          <c:val>
            <c:numRef>
              <c:f>'K4 E25'!$R$2:$R$4</c:f>
              <c:numCache>
                <c:formatCode>General</c:formatCode>
                <c:ptCount val="3"/>
                <c:pt idx="0">
                  <c:v>0.17121900000000001</c:v>
                </c:pt>
                <c:pt idx="1">
                  <c:v>0.16070599999999999</c:v>
                </c:pt>
                <c:pt idx="2">
                  <c:v>0.19123200000000001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8A-443B-ADBE-FA14D0985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722239"/>
        <c:axId val="166722719"/>
      </c:lineChart>
      <c:catAx>
        <c:axId val="166722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Blocksize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22719"/>
        <c:crosses val="autoZero"/>
        <c:auto val="1"/>
        <c:lblAlgn val="ctr"/>
        <c:lblOffset val="100"/>
        <c:noMultiLvlLbl val="0"/>
      </c:catAx>
      <c:valAx>
        <c:axId val="16672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(Seconds)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2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Distribute GPU Blocksize 1024</a:t>
            </a:r>
            <a:endParaRPr lang="en-US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'K4 E25'!$V$1</c:f>
              <c:strCache>
                <c:ptCount val="1"/>
                <c:pt idx="0">
                  <c:v>n_2_20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'K4 E25'!$V$2:$V$5</c15:sqref>
                  </c15:fullRef>
                </c:ext>
              </c:extLst>
              <c:f>'K4 E25'!$V$3:$V$5</c:f>
              <c:numCache>
                <c:formatCode>0.00</c:formatCode>
                <c:ptCount val="3"/>
                <c:pt idx="0">
                  <c:v>9.2880599999999994E-2</c:v>
                </c:pt>
                <c:pt idx="1">
                  <c:v>0.15177399999999999</c:v>
                </c:pt>
                <c:pt idx="2">
                  <c:v>0.127553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48-4CEF-ACCB-E04570F0E63F}"/>
            </c:ext>
          </c:extLst>
        </c:ser>
        <c:ser>
          <c:idx val="1"/>
          <c:order val="1"/>
          <c:tx>
            <c:strRef>
              <c:f>'K4 E25'!$W$1</c:f>
              <c:strCache>
                <c:ptCount val="1"/>
                <c:pt idx="0">
                  <c:v>n_2_19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'K4 E25'!$W$2:$W$5</c15:sqref>
                  </c15:fullRef>
                </c:ext>
              </c:extLst>
              <c:f>'K4 E25'!$W$3:$W$5</c:f>
              <c:numCache>
                <c:formatCode>General</c:formatCode>
                <c:ptCount val="3"/>
                <c:pt idx="0">
                  <c:v>4.96097E-2</c:v>
                </c:pt>
                <c:pt idx="1">
                  <c:v>0.11100599999999999</c:v>
                </c:pt>
                <c:pt idx="2">
                  <c:v>7.6106199999999999E-2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48-4CEF-ACCB-E04570F0E63F}"/>
            </c:ext>
          </c:extLst>
        </c:ser>
        <c:ser>
          <c:idx val="2"/>
          <c:order val="2"/>
          <c:tx>
            <c:strRef>
              <c:f>'K4 E25'!$X$1</c:f>
              <c:strCache>
                <c:ptCount val="1"/>
                <c:pt idx="0">
                  <c:v>n_2_18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'K4 E25'!$X$2:$X$5</c15:sqref>
                  </c15:fullRef>
                </c:ext>
              </c:extLst>
              <c:f>'K4 E25'!$X$3:$X$5</c:f>
              <c:numCache>
                <c:formatCode>General</c:formatCode>
                <c:ptCount val="3"/>
                <c:pt idx="0">
                  <c:v>3.0849399999999999E-2</c:v>
                </c:pt>
                <c:pt idx="1">
                  <c:v>5.0999000000000003E-2</c:v>
                </c:pt>
                <c:pt idx="2">
                  <c:v>7.9318799999999995E-2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48-4CEF-ACCB-E04570F0E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185087"/>
        <c:axId val="190187487"/>
      </c:lineChart>
      <c:catAx>
        <c:axId val="190185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Devices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87487"/>
        <c:crosses val="autoZero"/>
        <c:auto val="1"/>
        <c:lblAlgn val="ctr"/>
        <c:lblOffset val="100"/>
        <c:noMultiLvlLbl val="0"/>
      </c:catAx>
      <c:valAx>
        <c:axId val="19018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8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Distribute GPU Blocksize 265</a:t>
            </a:r>
            <a:endParaRPr lang="en-US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'K4 E25'!$AB$1</c:f>
              <c:strCache>
                <c:ptCount val="1"/>
                <c:pt idx="0">
                  <c:v>n_2_20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'K4 E25'!$AB$2:$AB$5</c15:sqref>
                  </c15:fullRef>
                </c:ext>
              </c:extLst>
              <c:f>'K4 E25'!$AB$3:$AB$5</c:f>
              <c:numCache>
                <c:formatCode>0.00</c:formatCode>
                <c:ptCount val="3"/>
                <c:pt idx="0">
                  <c:v>3.1948999999999998E-2</c:v>
                </c:pt>
                <c:pt idx="1">
                  <c:v>5.1130700000000001E-2</c:v>
                </c:pt>
                <c:pt idx="2">
                  <c:v>5.4113700000000001E-2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DD-4110-A3F6-A5961A453D07}"/>
            </c:ext>
          </c:extLst>
        </c:ser>
        <c:ser>
          <c:idx val="1"/>
          <c:order val="1"/>
          <c:tx>
            <c:strRef>
              <c:f>'K4 E25'!$AC$1</c:f>
              <c:strCache>
                <c:ptCount val="1"/>
                <c:pt idx="0">
                  <c:v>n_2_19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'K4 E25'!$AC$2:$AC$5</c15:sqref>
                  </c15:fullRef>
                </c:ext>
              </c:extLst>
              <c:f>'K4 E25'!$AC$3:$AC$5</c:f>
              <c:numCache>
                <c:formatCode>General</c:formatCode>
                <c:ptCount val="3"/>
                <c:pt idx="0">
                  <c:v>2.7116899999999999E-2</c:v>
                </c:pt>
                <c:pt idx="1">
                  <c:v>3.5148100000000002E-2</c:v>
                </c:pt>
                <c:pt idx="2">
                  <c:v>3.8919099999999998E-2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DD-4110-A3F6-A5961A453D07}"/>
            </c:ext>
          </c:extLst>
        </c:ser>
        <c:ser>
          <c:idx val="2"/>
          <c:order val="2"/>
          <c:tx>
            <c:strRef>
              <c:f>'K4 E25'!$AD$1</c:f>
              <c:strCache>
                <c:ptCount val="1"/>
                <c:pt idx="0">
                  <c:v>n_2_18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'K4 E25'!$AD$2:$AD$5</c15:sqref>
                  </c15:fullRef>
                </c:ext>
              </c:extLst>
              <c:f>'K4 E25'!$AD$3:$AD$5</c:f>
              <c:numCache>
                <c:formatCode>General</c:formatCode>
                <c:ptCount val="3"/>
                <c:pt idx="0">
                  <c:v>1.62472E-2</c:v>
                </c:pt>
                <c:pt idx="1">
                  <c:v>2.1296200000000001E-2</c:v>
                </c:pt>
                <c:pt idx="2">
                  <c:v>2.6827400000000001E-2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DD-4110-A3F6-A5961A453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72847"/>
        <c:axId val="138773807"/>
      </c:lineChart>
      <c:catAx>
        <c:axId val="138772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Devices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73807"/>
        <c:crosses val="autoZero"/>
        <c:auto val="1"/>
        <c:lblAlgn val="ctr"/>
        <c:lblOffset val="100"/>
        <c:noMultiLvlLbl val="0"/>
      </c:catAx>
      <c:valAx>
        <c:axId val="13877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(Seconds)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7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Distribute GPU Blocksize 64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'K4 E25'!$AH$1</c:f>
              <c:strCache>
                <c:ptCount val="1"/>
                <c:pt idx="0">
                  <c:v>n_2_20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'K4 E25'!$AH$2:$AH$5</c15:sqref>
                  </c15:fullRef>
                </c:ext>
              </c:extLst>
              <c:f>'K4 E25'!$AH$3:$AH$5</c:f>
              <c:numCache>
                <c:formatCode>0.00</c:formatCode>
                <c:ptCount val="3"/>
                <c:pt idx="0">
                  <c:v>2.5749999999999999E-2</c:v>
                </c:pt>
                <c:pt idx="1">
                  <c:v>4.5300100000000003E-2</c:v>
                </c:pt>
                <c:pt idx="2">
                  <c:v>3.9871799999999999E-2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0C-47EF-84E1-0FE1D7D6C666}"/>
            </c:ext>
          </c:extLst>
        </c:ser>
        <c:ser>
          <c:idx val="1"/>
          <c:order val="1"/>
          <c:tx>
            <c:strRef>
              <c:f>'K4 E25'!$AI$1</c:f>
              <c:strCache>
                <c:ptCount val="1"/>
                <c:pt idx="0">
                  <c:v>n_2_19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'K4 E25'!$AI$2:$AI$5</c15:sqref>
                  </c15:fullRef>
                </c:ext>
              </c:extLst>
              <c:f>'K4 E25'!$AI$3:$AI$5</c:f>
              <c:numCache>
                <c:formatCode>General</c:formatCode>
                <c:ptCount val="3"/>
                <c:pt idx="0">
                  <c:v>1.87726E-2</c:v>
                </c:pt>
                <c:pt idx="1">
                  <c:v>2.0494700000000001E-2</c:v>
                </c:pt>
                <c:pt idx="2">
                  <c:v>2.7166099999999999E-2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0C-47EF-84E1-0FE1D7D6C666}"/>
            </c:ext>
          </c:extLst>
        </c:ser>
        <c:ser>
          <c:idx val="2"/>
          <c:order val="2"/>
          <c:tx>
            <c:strRef>
              <c:f>'K4 E25'!$AJ$1</c:f>
              <c:strCache>
                <c:ptCount val="1"/>
                <c:pt idx="0">
                  <c:v>n_2_18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'K4 E25'!$AJ$2:$AJ$5</c15:sqref>
                  </c15:fullRef>
                </c:ext>
              </c:extLst>
              <c:f>'K4 E25'!$AJ$3:$AJ$5</c:f>
              <c:numCache>
                <c:formatCode>General</c:formatCode>
                <c:ptCount val="3"/>
                <c:pt idx="0">
                  <c:v>1.11302E-2</c:v>
                </c:pt>
                <c:pt idx="1">
                  <c:v>1.5248100000000001E-2</c:v>
                </c:pt>
                <c:pt idx="2">
                  <c:v>2.0198600000000001E-2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0C-47EF-84E1-0FE1D7D6C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720319"/>
        <c:axId val="166718399"/>
      </c:lineChart>
      <c:catAx>
        <c:axId val="166720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Devices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18399"/>
        <c:crosses val="autoZero"/>
        <c:auto val="1"/>
        <c:lblAlgn val="ctr"/>
        <c:lblOffset val="100"/>
        <c:noMultiLvlLbl val="0"/>
      </c:catAx>
      <c:valAx>
        <c:axId val="16671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20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Temp!$C$1</c:f>
              <c:strCache>
                <c:ptCount val="1"/>
                <c:pt idx="0">
                  <c:v>Parallel Efficiency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Temp!$A$2:$A$17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Temp!$C$2:$C$17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B5-4AB0-BBE3-18CE48ECC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9983807"/>
        <c:axId val="1999985727"/>
      </c:scatterChart>
      <c:valAx>
        <c:axId val="199998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985727"/>
        <c:crosses val="autoZero"/>
        <c:crossBetween val="midCat"/>
      </c:valAx>
      <c:valAx>
        <c:axId val="199998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98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'Temp (6)'!$C$1</c:f>
              <c:strCache>
                <c:ptCount val="1"/>
                <c:pt idx="0">
                  <c:v>Parallel Efficiency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'Temp (6)'!$A$2:$A$17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'Temp (6)'!$C$2:$C$17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B7-4E8D-8182-2F975BDF6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9983807"/>
        <c:axId val="1999985727"/>
      </c:scatterChart>
      <c:valAx>
        <c:axId val="199998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985727"/>
        <c:crosses val="autoZero"/>
        <c:crossBetween val="midCat"/>
      </c:valAx>
      <c:valAx>
        <c:axId val="199998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98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255495</xdr:colOff>
      <xdr:row>36</xdr:row>
      <xdr:rowOff>36980</xdr:rowOff>
    </xdr:from>
    <xdr:to>
      <xdr:col>4</xdr:col>
      <xdr:colOff>788895</xdr:colOff>
      <xdr:row>51</xdr:row>
      <xdr:rowOff>137832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64BA69-92D4-483E-84ED-70BA1310F2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318248</xdr:colOff>
      <xdr:row>35</xdr:row>
      <xdr:rowOff>164726</xdr:rowOff>
    </xdr:from>
    <xdr:to>
      <xdr:col>9</xdr:col>
      <xdr:colOff>161367</xdr:colOff>
      <xdr:row>50</xdr:row>
      <xdr:rowOff>110938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3667B1-079E-44CD-B625-43E90D7E94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183776</xdr:colOff>
      <xdr:row>54</xdr:row>
      <xdr:rowOff>57151</xdr:rowOff>
    </xdr:from>
    <xdr:to>
      <xdr:col>5</xdr:col>
      <xdr:colOff>174811</xdr:colOff>
      <xdr:row>69</xdr:row>
      <xdr:rowOff>110939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A6A2AA-1411-4AFB-BE6A-8D30083020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354106</xdr:colOff>
      <xdr:row>53</xdr:row>
      <xdr:rowOff>10085</xdr:rowOff>
    </xdr:from>
    <xdr:to>
      <xdr:col>9</xdr:col>
      <xdr:colOff>560295</xdr:colOff>
      <xdr:row>68</xdr:row>
      <xdr:rowOff>75079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84019EE-1C89-4610-8C17-E273E7E6DF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524435</xdr:colOff>
      <xdr:row>50</xdr:row>
      <xdr:rowOff>0</xdr:rowOff>
    </xdr:from>
    <xdr:to>
      <xdr:col>16</xdr:col>
      <xdr:colOff>354105</xdr:colOff>
      <xdr:row>65</xdr:row>
      <xdr:rowOff>53788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736BE2C-CB9B-472D-911E-BFD1709600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533399</xdr:colOff>
      <xdr:row>30</xdr:row>
      <xdr:rowOff>173690</xdr:rowOff>
    </xdr:from>
    <xdr:to>
      <xdr:col>21</xdr:col>
      <xdr:colOff>156881</xdr:colOff>
      <xdr:row>46</xdr:row>
      <xdr:rowOff>36979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21C35EE-D877-42E6-BA36-480AED2DAC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578223</xdr:colOff>
      <xdr:row>48</xdr:row>
      <xdr:rowOff>182656</xdr:rowOff>
    </xdr:from>
    <xdr:to>
      <xdr:col>21</xdr:col>
      <xdr:colOff>201705</xdr:colOff>
      <xdr:row>64</xdr:row>
      <xdr:rowOff>57150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33E1F07-1908-49E7-858C-DB9353537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380999</xdr:colOff>
      <xdr:row>31</xdr:row>
      <xdr:rowOff>128868</xdr:rowOff>
    </xdr:from>
    <xdr:to>
      <xdr:col>26</xdr:col>
      <xdr:colOff>1429870</xdr:colOff>
      <xdr:row>46</xdr:row>
      <xdr:rowOff>182657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35DCF2C-2E47-4BC2-83A9-E5EA16A3A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336177</xdr:colOff>
      <xdr:row>30</xdr:row>
      <xdr:rowOff>107577</xdr:rowOff>
    </xdr:from>
    <xdr:to>
      <xdr:col>11</xdr:col>
      <xdr:colOff>156883</xdr:colOff>
      <xdr:row>45</xdr:row>
      <xdr:rowOff>161366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A2FB73-C357-4A02-9660-44F2A1F24C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389964</xdr:colOff>
      <xdr:row>31</xdr:row>
      <xdr:rowOff>17929</xdr:rowOff>
    </xdr:from>
    <xdr:to>
      <xdr:col>6</xdr:col>
      <xdr:colOff>452717</xdr:colOff>
      <xdr:row>46</xdr:row>
      <xdr:rowOff>71718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C7AFB3-7FEE-46EC-98F4-37E3A0C23B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246529</xdr:colOff>
      <xdr:row>30</xdr:row>
      <xdr:rowOff>62752</xdr:rowOff>
    </xdr:from>
    <xdr:to>
      <xdr:col>17</xdr:col>
      <xdr:colOff>76199</xdr:colOff>
      <xdr:row>45</xdr:row>
      <xdr:rowOff>116541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183785-4464-46DC-805E-261DE2591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515471</xdr:colOff>
      <xdr:row>48</xdr:row>
      <xdr:rowOff>35858</xdr:rowOff>
    </xdr:from>
    <xdr:to>
      <xdr:col>6</xdr:col>
      <xdr:colOff>578224</xdr:colOff>
      <xdr:row>63</xdr:row>
      <xdr:rowOff>89647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152BED-6B6D-4757-B5DA-47BF14E663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389964</xdr:colOff>
      <xdr:row>30</xdr:row>
      <xdr:rowOff>26893</xdr:rowOff>
    </xdr:from>
    <xdr:to>
      <xdr:col>22</xdr:col>
      <xdr:colOff>13447</xdr:colOff>
      <xdr:row>45</xdr:row>
      <xdr:rowOff>80682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6ACDCFB-C37B-F7B9-9E3A-FE6911C197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497540</xdr:colOff>
      <xdr:row>48</xdr:row>
      <xdr:rowOff>107576</xdr:rowOff>
    </xdr:from>
    <xdr:to>
      <xdr:col>23</xdr:col>
      <xdr:colOff>121023</xdr:colOff>
      <xdr:row>63</xdr:row>
      <xdr:rowOff>161365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6AD0560-9DC3-949E-69B4-2A6E3E391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515471</xdr:colOff>
      <xdr:row>29</xdr:row>
      <xdr:rowOff>143436</xdr:rowOff>
    </xdr:from>
    <xdr:to>
      <xdr:col>28</xdr:col>
      <xdr:colOff>31377</xdr:colOff>
      <xdr:row>45</xdr:row>
      <xdr:rowOff>17930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9B316B2-3237-E0CE-F8DA-C9FA6D15B8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246530</xdr:colOff>
      <xdr:row>30</xdr:row>
      <xdr:rowOff>98611</xdr:rowOff>
    </xdr:from>
    <xdr:to>
      <xdr:col>35</xdr:col>
      <xdr:colOff>318247</xdr:colOff>
      <xdr:row>45</xdr:row>
      <xdr:rowOff>152400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B1DE515-3A6E-BE78-8AF7-B2FDD4504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103095</xdr:colOff>
      <xdr:row>33</xdr:row>
      <xdr:rowOff>35859</xdr:rowOff>
    </xdr:from>
    <xdr:to>
      <xdr:col>6</xdr:col>
      <xdr:colOff>165848</xdr:colOff>
      <xdr:row>48</xdr:row>
      <xdr:rowOff>89647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3414C0-63A8-DFC3-4D49-6BAEA744D2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389965</xdr:colOff>
      <xdr:row>33</xdr:row>
      <xdr:rowOff>80682</xdr:rowOff>
    </xdr:from>
    <xdr:to>
      <xdr:col>11</xdr:col>
      <xdr:colOff>210671</xdr:colOff>
      <xdr:row>48</xdr:row>
      <xdr:rowOff>134470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5D2EB4-73F2-5192-D3FF-719AF3D51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372035</xdr:colOff>
      <xdr:row>49</xdr:row>
      <xdr:rowOff>116541</xdr:rowOff>
    </xdr:from>
    <xdr:to>
      <xdr:col>6</xdr:col>
      <xdr:colOff>434788</xdr:colOff>
      <xdr:row>64</xdr:row>
      <xdr:rowOff>170329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27BD5F-3C5B-E13A-C889-DC443F4A4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739586</xdr:colOff>
      <xdr:row>32</xdr:row>
      <xdr:rowOff>26893</xdr:rowOff>
    </xdr:from>
    <xdr:to>
      <xdr:col>23</xdr:col>
      <xdr:colOff>363069</xdr:colOff>
      <xdr:row>47</xdr:row>
      <xdr:rowOff>80681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7C0283B-389C-40B8-4416-22EEA8D937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578224</xdr:colOff>
      <xdr:row>49</xdr:row>
      <xdr:rowOff>53788</xdr:rowOff>
    </xdr:from>
    <xdr:to>
      <xdr:col>23</xdr:col>
      <xdr:colOff>201707</xdr:colOff>
      <xdr:row>64</xdr:row>
      <xdr:rowOff>107576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C8C7290-6FC7-2C6E-51AF-26C39B1947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112059</xdr:colOff>
      <xdr:row>32</xdr:row>
      <xdr:rowOff>35858</xdr:rowOff>
    </xdr:from>
    <xdr:to>
      <xdr:col>28</xdr:col>
      <xdr:colOff>237565</xdr:colOff>
      <xdr:row>47</xdr:row>
      <xdr:rowOff>89646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1C69FF5-2E6D-CC95-8108-92A2831FB6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479612</xdr:colOff>
      <xdr:row>31</xdr:row>
      <xdr:rowOff>44823</xdr:rowOff>
    </xdr:from>
    <xdr:to>
      <xdr:col>35</xdr:col>
      <xdr:colOff>551329</xdr:colOff>
      <xdr:row>46</xdr:row>
      <xdr:rowOff>98612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E682745-B38F-84D6-2ED0-C2E7E84CD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434789</xdr:colOff>
      <xdr:row>51</xdr:row>
      <xdr:rowOff>17930</xdr:rowOff>
    </xdr:from>
    <xdr:to>
      <xdr:col>11</xdr:col>
      <xdr:colOff>255495</xdr:colOff>
      <xdr:row>66</xdr:row>
      <xdr:rowOff>71718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FD84EF-EEC3-6F45-C119-27F12DAAA3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443753</xdr:colOff>
      <xdr:row>32</xdr:row>
      <xdr:rowOff>62753</xdr:rowOff>
    </xdr:from>
    <xdr:to>
      <xdr:col>6</xdr:col>
      <xdr:colOff>506506</xdr:colOff>
      <xdr:row>47</xdr:row>
      <xdr:rowOff>116541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59DA71-E1E8-11FE-2FDD-5E67B01C5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452718</xdr:colOff>
      <xdr:row>33</xdr:row>
      <xdr:rowOff>35858</xdr:rowOff>
    </xdr:from>
    <xdr:to>
      <xdr:col>12</xdr:col>
      <xdr:colOff>273424</xdr:colOff>
      <xdr:row>48</xdr:row>
      <xdr:rowOff>89646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B267CF-40E3-95DA-926D-CC2929F310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156882</xdr:colOff>
      <xdr:row>50</xdr:row>
      <xdr:rowOff>35859</xdr:rowOff>
    </xdr:from>
    <xdr:to>
      <xdr:col>7</xdr:col>
      <xdr:colOff>219635</xdr:colOff>
      <xdr:row>65</xdr:row>
      <xdr:rowOff>89647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EEB018-E1D6-00D1-F2E0-F11FD46490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497542</xdr:colOff>
      <xdr:row>49</xdr:row>
      <xdr:rowOff>98611</xdr:rowOff>
    </xdr:from>
    <xdr:to>
      <xdr:col>12</xdr:col>
      <xdr:colOff>318248</xdr:colOff>
      <xdr:row>64</xdr:row>
      <xdr:rowOff>152399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399B9D-0C2C-CF6E-6A43-AB3472CDF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461682</xdr:colOff>
      <xdr:row>56</xdr:row>
      <xdr:rowOff>26895</xdr:rowOff>
    </xdr:from>
    <xdr:to>
      <xdr:col>19</xdr:col>
      <xdr:colOff>121023</xdr:colOff>
      <xdr:row>71</xdr:row>
      <xdr:rowOff>80684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0DE8357-A5CC-08AD-1185-3F73561BF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372035</xdr:colOff>
      <xdr:row>31</xdr:row>
      <xdr:rowOff>26894</xdr:rowOff>
    </xdr:from>
    <xdr:to>
      <xdr:col>24</xdr:col>
      <xdr:colOff>165847</xdr:colOff>
      <xdr:row>46</xdr:row>
      <xdr:rowOff>80683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C0F7052-3881-5152-5166-AB6C315B3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623046</xdr:colOff>
      <xdr:row>30</xdr:row>
      <xdr:rowOff>44823</xdr:rowOff>
    </xdr:from>
    <xdr:to>
      <xdr:col>29</xdr:col>
      <xdr:colOff>138952</xdr:colOff>
      <xdr:row>45</xdr:row>
      <xdr:rowOff>98612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3AC629E-AE68-21ED-68A4-76CF3B539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31376</xdr:colOff>
      <xdr:row>29</xdr:row>
      <xdr:rowOff>116542</xdr:rowOff>
    </xdr:from>
    <xdr:to>
      <xdr:col>36</xdr:col>
      <xdr:colOff>103093</xdr:colOff>
      <xdr:row>44</xdr:row>
      <xdr:rowOff>170330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1860D06-FA79-444D-164A-DCF9FEDA31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944880</xdr:colOff>
      <xdr:row>38</xdr:row>
      <xdr:rowOff>156210</xdr:rowOff>
    </xdr:from>
    <xdr:to>
      <xdr:col>28</xdr:col>
      <xdr:colOff>304800</xdr:colOff>
      <xdr:row>53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2FAC9-F808-4CCB-8648-9CAC5AE81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944880</xdr:colOff>
      <xdr:row>38</xdr:row>
      <xdr:rowOff>156210</xdr:rowOff>
    </xdr:from>
    <xdr:to>
      <xdr:col>28</xdr:col>
      <xdr:colOff>304800</xdr:colOff>
      <xdr:row>53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DFB28A-2A58-47B1-B5AC-42B9164D91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2312910d6933b16/Documents/Output%20MPI.xlsx" TargetMode="External"/><Relationship Id="rId1" Type="http://schemas.openxmlformats.org/officeDocument/2006/relationships/externalLinkPath" Target="Output%20MP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7">
          <cell r="F27">
            <v>5.0436100000000001</v>
          </cell>
        </row>
        <row r="28">
          <cell r="F28">
            <v>5.0271999999999997</v>
          </cell>
        </row>
        <row r="29">
          <cell r="F29">
            <v>5.0389600000000003</v>
          </cell>
        </row>
        <row r="30">
          <cell r="F30">
            <v>5.0452199999999996</v>
          </cell>
        </row>
        <row r="31">
          <cell r="F31">
            <v>5.03573</v>
          </cell>
        </row>
        <row r="32">
          <cell r="F32">
            <v>5.0329800000000002</v>
          </cell>
        </row>
        <row r="33">
          <cell r="F33">
            <v>5.0310800000000002</v>
          </cell>
        </row>
        <row r="34">
          <cell r="F34">
            <v>5.0422000000000002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C03B9-55AD-4B3D-A0FD-3CC087E0A7A3}">
  <dimension ref="A1:AJ31"/>
  <sheetViews>
    <sheetView zoomScaleNormal="100" workbookViewId="0">
      <selection activeCell="A23" sqref="A23"/>
    </sheetView>
  </sheetViews>
  <sheetFormatPr defaultRowHeight="14.4"/>
  <cols>
    <col min="2" max="2" width="14.88671875" bestFit="1" customWidth="1"/>
    <col min="3" max="3" width="15.33203125" bestFit="1" customWidth="1"/>
    <col min="4" max="5" width="13.88671875" bestFit="1" customWidth="1"/>
    <col min="6" max="6" width="12.109375" bestFit="1" customWidth="1"/>
    <col min="8" max="8" width="21" bestFit="1" customWidth="1"/>
    <col min="9" max="9" width="21.5546875" bestFit="1" customWidth="1"/>
    <col min="14" max="14" width="16.5546875" bestFit="1" customWidth="1"/>
    <col min="15" max="15" width="17" bestFit="1" customWidth="1"/>
    <col min="19" max="19" width="11.33203125" bestFit="1" customWidth="1"/>
    <col min="20" max="20" width="20.6640625" bestFit="1" customWidth="1"/>
    <col min="21" max="21" width="22.33203125" bestFit="1" customWidth="1"/>
    <col min="25" max="25" width="12.21875" bestFit="1" customWidth="1"/>
    <col min="26" max="26" width="21.33203125" bestFit="1" customWidth="1"/>
    <col min="27" max="27" width="22.33203125" bestFit="1" customWidth="1"/>
    <col min="31" max="31" width="12.21875" bestFit="1" customWidth="1"/>
  </cols>
  <sheetData>
    <row r="1" spans="1:36">
      <c r="A1" t="s">
        <v>0</v>
      </c>
      <c r="B1" t="s">
        <v>3</v>
      </c>
      <c r="C1" t="s">
        <v>2</v>
      </c>
      <c r="D1" t="s">
        <v>25</v>
      </c>
      <c r="E1" t="s">
        <v>26</v>
      </c>
      <c r="F1" t="s">
        <v>27</v>
      </c>
      <c r="H1" t="s">
        <v>10</v>
      </c>
      <c r="I1" t="s">
        <v>11</v>
      </c>
      <c r="J1" t="s">
        <v>6</v>
      </c>
      <c r="K1" t="s">
        <v>7</v>
      </c>
      <c r="L1" t="s">
        <v>8</v>
      </c>
      <c r="N1" t="s">
        <v>9</v>
      </c>
      <c r="O1" t="s">
        <v>12</v>
      </c>
      <c r="P1" t="s">
        <v>6</v>
      </c>
      <c r="Q1" t="s">
        <v>7</v>
      </c>
      <c r="R1" t="s">
        <v>8</v>
      </c>
      <c r="S1" t="s">
        <v>17</v>
      </c>
      <c r="T1" t="s">
        <v>13</v>
      </c>
      <c r="U1" t="s">
        <v>14</v>
      </c>
      <c r="V1" t="s">
        <v>28</v>
      </c>
      <c r="W1" t="s">
        <v>29</v>
      </c>
      <c r="X1" t="s">
        <v>30</v>
      </c>
      <c r="Y1" t="s">
        <v>19</v>
      </c>
      <c r="Z1" t="s">
        <v>13</v>
      </c>
      <c r="AA1" t="s">
        <v>14</v>
      </c>
      <c r="AB1" t="s">
        <v>6</v>
      </c>
      <c r="AC1" t="s">
        <v>7</v>
      </c>
      <c r="AD1" t="s">
        <v>8</v>
      </c>
      <c r="AE1" t="s">
        <v>20</v>
      </c>
      <c r="AF1" t="s">
        <v>13</v>
      </c>
      <c r="AG1" t="s">
        <v>14</v>
      </c>
      <c r="AH1" t="s">
        <v>6</v>
      </c>
      <c r="AI1" t="s">
        <v>7</v>
      </c>
      <c r="AJ1" t="s">
        <v>8</v>
      </c>
    </row>
    <row r="2" spans="1:36">
      <c r="A2">
        <v>1</v>
      </c>
      <c r="B2" s="1">
        <f t="shared" ref="B2:B9" si="0">$A$23/B23</f>
        <v>1.3833975181857081</v>
      </c>
      <c r="C2">
        <f t="shared" ref="C2:C9" si="1">B2/A2</f>
        <v>1.3833975181857081</v>
      </c>
      <c r="D2">
        <v>1.57728</v>
      </c>
      <c r="E2">
        <v>0.791242</v>
      </c>
      <c r="F2">
        <v>0.39255699999999999</v>
      </c>
      <c r="H2" s="1">
        <f t="shared" ref="H2:H9" si="2">$A$23/H23</f>
        <v>0.49747684975123585</v>
      </c>
      <c r="I2">
        <f t="shared" ref="I2:I9" si="3">H2/A2</f>
        <v>0.49747684975123585</v>
      </c>
      <c r="J2">
        <v>4.4095399999999998</v>
      </c>
      <c r="K2">
        <v>2.20425</v>
      </c>
      <c r="L2">
        <v>1.1064799999999999</v>
      </c>
      <c r="M2" s="2">
        <v>64</v>
      </c>
      <c r="N2" s="1">
        <f t="shared" ref="N2:N9" si="4">$A$23/N23</f>
        <v>8.769835887698358</v>
      </c>
      <c r="P2">
        <v>0.24681600000000001</v>
      </c>
      <c r="Q2">
        <v>0.19950699999999999</v>
      </c>
      <c r="R2">
        <v>0.17591300000000001</v>
      </c>
      <c r="S2" s="2">
        <v>1</v>
      </c>
      <c r="T2" s="1">
        <f t="shared" ref="T2:T9" si="5">$A$23/T23</f>
        <v>7.7171474824877357</v>
      </c>
      <c r="V2">
        <v>0.28723900000000002</v>
      </c>
      <c r="W2">
        <v>0.14674799999999999</v>
      </c>
      <c r="X2">
        <v>7.9347299999999996E-2</v>
      </c>
      <c r="Z2" s="1">
        <f t="shared" ref="Z2:Z9" si="6">$A$23/Z23</f>
        <v>26.088656781887931</v>
      </c>
      <c r="AA2" t="e">
        <f t="shared" ref="AA2:AA9" si="7">Z2/Y2</f>
        <v>#DIV/0!</v>
      </c>
      <c r="AB2">
        <v>8.52633E-2</v>
      </c>
      <c r="AC2">
        <v>4.64561E-2</v>
      </c>
      <c r="AD2">
        <v>2.6768199999999999E-2</v>
      </c>
      <c r="AF2" s="1">
        <f t="shared" ref="AF2:AF9" si="8">$A$23/AF23</f>
        <v>44.052323204796288</v>
      </c>
      <c r="AG2" t="e">
        <f t="shared" ref="AG2:AG9" si="9">AF2/AE2</f>
        <v>#DIV/0!</v>
      </c>
      <c r="AH2">
        <v>5.0754300000000002E-2</v>
      </c>
      <c r="AI2">
        <v>2.8232699999999999E-2</v>
      </c>
      <c r="AJ2">
        <v>1.6170400000000001E-2</v>
      </c>
    </row>
    <row r="3" spans="1:36">
      <c r="A3">
        <v>2</v>
      </c>
      <c r="B3" s="1">
        <f t="shared" si="0"/>
        <v>1.7818839606842798</v>
      </c>
      <c r="C3">
        <f t="shared" si="1"/>
        <v>0.89094198034213989</v>
      </c>
      <c r="D3">
        <v>1.22709</v>
      </c>
      <c r="E3">
        <v>0.61860099999999996</v>
      </c>
      <c r="F3">
        <v>0.30800899999999998</v>
      </c>
      <c r="H3" s="1">
        <f t="shared" si="2"/>
        <v>0.66557046483884241</v>
      </c>
      <c r="I3">
        <f t="shared" si="3"/>
        <v>0.33278523241942121</v>
      </c>
      <c r="J3">
        <v>3.29338</v>
      </c>
      <c r="K3">
        <v>1.6476999999999999</v>
      </c>
      <c r="L3">
        <v>0.82256799999999997</v>
      </c>
      <c r="M3" s="2">
        <v>256</v>
      </c>
      <c r="N3" s="1">
        <f t="shared" si="4"/>
        <v>7.666704163005706</v>
      </c>
      <c r="P3">
        <v>0.29100900000000002</v>
      </c>
      <c r="Q3">
        <v>0.22132599999999999</v>
      </c>
      <c r="R3">
        <v>0.185363</v>
      </c>
      <c r="S3" s="2">
        <v>2</v>
      </c>
      <c r="T3" s="1">
        <f t="shared" si="5"/>
        <v>12.263184769129767</v>
      </c>
      <c r="V3">
        <v>0.16064200000000001</v>
      </c>
      <c r="W3">
        <v>9.60897E-2</v>
      </c>
      <c r="X3">
        <v>4.69884E-2</v>
      </c>
      <c r="Z3" s="1">
        <f t="shared" si="6"/>
        <v>43.183289323620372</v>
      </c>
      <c r="AA3" t="e">
        <f t="shared" si="7"/>
        <v>#DIV/0!</v>
      </c>
      <c r="AB3">
        <v>5.1586300000000002E-2</v>
      </c>
      <c r="AC3">
        <v>2.8828199999999998E-2</v>
      </c>
      <c r="AD3">
        <v>2.23123E-2</v>
      </c>
      <c r="AF3" s="1">
        <f t="shared" si="8"/>
        <v>88.237208309568871</v>
      </c>
      <c r="AG3" t="e">
        <f t="shared" si="9"/>
        <v>#DIV/0!</v>
      </c>
      <c r="AH3">
        <v>2.6497099999999999E-2</v>
      </c>
      <c r="AI3">
        <v>1.6586500000000001E-2</v>
      </c>
      <c r="AJ3">
        <v>1.1275800000000001E-2</v>
      </c>
    </row>
    <row r="4" spans="1:36">
      <c r="A4">
        <v>3</v>
      </c>
      <c r="B4" s="1">
        <f t="shared" si="0"/>
        <v>1.6873469387755102</v>
      </c>
      <c r="C4">
        <f t="shared" si="1"/>
        <v>0.56244897959183671</v>
      </c>
      <c r="D4">
        <v>1.3199799999999999</v>
      </c>
      <c r="E4">
        <v>0.67680899999999999</v>
      </c>
      <c r="F4">
        <v>0.33926099999999998</v>
      </c>
      <c r="H4" s="1">
        <f t="shared" si="2"/>
        <v>0.38222602163543518</v>
      </c>
      <c r="I4">
        <f t="shared" si="3"/>
        <v>0.1274086738784784</v>
      </c>
      <c r="J4">
        <v>5.95749</v>
      </c>
      <c r="K4">
        <v>4.0026599999999997</v>
      </c>
      <c r="L4">
        <v>3.2738200000000002</v>
      </c>
      <c r="M4" s="2">
        <v>1024</v>
      </c>
      <c r="N4" s="1">
        <f t="shared" si="4"/>
        <v>4.6436864580782142</v>
      </c>
      <c r="P4">
        <v>0.49044399999999999</v>
      </c>
      <c r="Q4">
        <v>0.32010899999999998</v>
      </c>
      <c r="R4">
        <v>0.24656900000000001</v>
      </c>
      <c r="S4" s="2">
        <v>3</v>
      </c>
      <c r="T4" s="1">
        <f t="shared" si="5"/>
        <v>9.6027508891647564</v>
      </c>
      <c r="V4">
        <v>0.240311</v>
      </c>
      <c r="W4">
        <v>0.129325</v>
      </c>
      <c r="X4">
        <v>7.6296699999999995E-2</v>
      </c>
      <c r="Z4" s="1">
        <f t="shared" si="6"/>
        <v>33.37405158026943</v>
      </c>
      <c r="AA4" t="e">
        <f t="shared" si="7"/>
        <v>#DIV/0!</v>
      </c>
      <c r="AB4">
        <v>7.0452799999999996E-2</v>
      </c>
      <c r="AC4">
        <v>4.6052900000000001E-2</v>
      </c>
      <c r="AD4">
        <v>2.8862700000000002E-2</v>
      </c>
      <c r="AF4" s="1">
        <f t="shared" si="8"/>
        <v>54.448057416019999</v>
      </c>
      <c r="AG4" t="e">
        <f t="shared" si="9"/>
        <v>#DIV/0!</v>
      </c>
      <c r="AH4">
        <v>3.7701199999999997E-2</v>
      </c>
      <c r="AI4">
        <v>2.3755100000000001E-2</v>
      </c>
      <c r="AJ4">
        <v>1.7496999999999999E-2</v>
      </c>
    </row>
    <row r="5" spans="1:36">
      <c r="A5">
        <v>4</v>
      </c>
      <c r="B5" s="1">
        <f t="shared" si="0"/>
        <v>1.7873399060167694</v>
      </c>
      <c r="C5">
        <f t="shared" si="1"/>
        <v>0.44683497650419235</v>
      </c>
      <c r="D5">
        <v>1.2916000000000001</v>
      </c>
      <c r="E5">
        <v>0.63794099999999998</v>
      </c>
      <c r="F5">
        <v>0.32057999999999998</v>
      </c>
      <c r="H5" s="1">
        <f t="shared" si="2"/>
        <v>0.41734977086426123</v>
      </c>
      <c r="I5">
        <f t="shared" si="3"/>
        <v>0.10433744271606531</v>
      </c>
      <c r="J5">
        <v>5.79291</v>
      </c>
      <c r="K5">
        <v>3.9854799999999999</v>
      </c>
      <c r="L5">
        <v>3.2775099999999999</v>
      </c>
      <c r="N5" s="1" t="e">
        <f t="shared" si="4"/>
        <v>#DIV/0!</v>
      </c>
      <c r="S5" s="2">
        <v>4</v>
      </c>
      <c r="T5" s="1">
        <f t="shared" si="5"/>
        <v>10.551610730111175</v>
      </c>
      <c r="V5">
        <v>0.20071</v>
      </c>
      <c r="W5">
        <v>0.119852</v>
      </c>
      <c r="X5">
        <v>7.6511899999999994E-2</v>
      </c>
      <c r="Z5" s="1">
        <f t="shared" si="6"/>
        <v>32.563454922986331</v>
      </c>
      <c r="AA5" t="e">
        <f t="shared" si="7"/>
        <v>#DIV/0!</v>
      </c>
      <c r="AB5">
        <v>7.5254000000000001E-2</v>
      </c>
      <c r="AC5" t="s">
        <v>21</v>
      </c>
      <c r="AD5">
        <v>3.7346499999999998E-2</v>
      </c>
      <c r="AF5" s="1">
        <f t="shared" si="8"/>
        <v>58.705323366522407</v>
      </c>
      <c r="AG5" t="e">
        <f t="shared" si="9"/>
        <v>#DIV/0!</v>
      </c>
      <c r="AH5">
        <v>4.1033600000000003E-2</v>
      </c>
      <c r="AI5">
        <v>2.7406300000000001E-2</v>
      </c>
      <c r="AJ5">
        <v>2.3859200000000001E-2</v>
      </c>
    </row>
    <row r="6" spans="1:36">
      <c r="A6">
        <v>5</v>
      </c>
      <c r="B6" s="1">
        <f t="shared" si="0"/>
        <v>1.6750516450012287</v>
      </c>
      <c r="C6">
        <f t="shared" si="1"/>
        <v>0.33501032900024574</v>
      </c>
      <c r="D6">
        <v>1.3236300000000001</v>
      </c>
      <c r="E6">
        <v>0.66789799999999999</v>
      </c>
      <c r="F6">
        <v>0.336036</v>
      </c>
      <c r="H6" s="1">
        <f t="shared" si="2"/>
        <v>0.33631092096278592</v>
      </c>
      <c r="I6">
        <f t="shared" si="3"/>
        <v>6.7262184192557181E-2</v>
      </c>
      <c r="J6">
        <v>6.6939500000000001</v>
      </c>
      <c r="K6">
        <v>5.0485800000000003</v>
      </c>
      <c r="L6">
        <v>4.1577599999999997</v>
      </c>
      <c r="N6" s="1" t="e">
        <f t="shared" si="4"/>
        <v>#DIV/0!</v>
      </c>
      <c r="T6" s="1" t="e">
        <f t="shared" si="5"/>
        <v>#DIV/0!</v>
      </c>
      <c r="Z6" s="1" t="e">
        <f t="shared" si="6"/>
        <v>#DIV/0!</v>
      </c>
      <c r="AA6" t="e">
        <f t="shared" si="7"/>
        <v>#DIV/0!</v>
      </c>
      <c r="AF6" s="1" t="e">
        <f t="shared" si="8"/>
        <v>#DIV/0!</v>
      </c>
      <c r="AG6" t="e">
        <f t="shared" si="9"/>
        <v>#DIV/0!</v>
      </c>
    </row>
    <row r="7" spans="1:36">
      <c r="A7">
        <v>6</v>
      </c>
      <c r="B7" s="1">
        <f t="shared" si="0"/>
        <v>1.7100020343120634</v>
      </c>
      <c r="C7">
        <f t="shared" si="1"/>
        <v>0.28500033905201055</v>
      </c>
      <c r="D7">
        <v>1.2835300000000001</v>
      </c>
      <c r="E7">
        <v>0.63717500000000005</v>
      </c>
      <c r="F7">
        <v>0.327793</v>
      </c>
      <c r="H7" s="1">
        <f t="shared" si="2"/>
        <v>0.34705598196554127</v>
      </c>
      <c r="I7">
        <f t="shared" si="3"/>
        <v>5.7842663660923548E-2</v>
      </c>
      <c r="J7">
        <v>6.6418999999999997</v>
      </c>
      <c r="K7">
        <v>4.76999</v>
      </c>
      <c r="L7">
        <v>4.2062200000000001</v>
      </c>
      <c r="N7" s="1" t="e">
        <f t="shared" si="4"/>
        <v>#DIV/0!</v>
      </c>
      <c r="T7" s="1" t="e">
        <f t="shared" si="5"/>
        <v>#DIV/0!</v>
      </c>
      <c r="Z7" s="1" t="e">
        <f t="shared" si="6"/>
        <v>#DIV/0!</v>
      </c>
      <c r="AA7" t="e">
        <f t="shared" si="7"/>
        <v>#DIV/0!</v>
      </c>
      <c r="AF7" s="1" t="e">
        <f t="shared" si="8"/>
        <v>#DIV/0!</v>
      </c>
      <c r="AG7" t="e">
        <f t="shared" si="9"/>
        <v>#DIV/0!</v>
      </c>
    </row>
    <row r="8" spans="1:36">
      <c r="A8">
        <v>7</v>
      </c>
      <c r="B8" s="1">
        <f t="shared" si="0"/>
        <v>1.6717757653703873</v>
      </c>
      <c r="C8">
        <f t="shared" si="1"/>
        <v>0.23882510933862675</v>
      </c>
      <c r="D8">
        <v>1.3205800000000001</v>
      </c>
      <c r="E8">
        <v>0.65715699999999999</v>
      </c>
      <c r="F8">
        <v>0.332374</v>
      </c>
      <c r="H8" s="1">
        <f t="shared" si="2"/>
        <v>0.28444098538170004</v>
      </c>
      <c r="I8">
        <f t="shared" si="3"/>
        <v>4.0634426483100006E-2</v>
      </c>
      <c r="J8">
        <v>8.7895199999999996</v>
      </c>
      <c r="K8">
        <v>6.9390099999999997</v>
      </c>
      <c r="L8">
        <v>5.2808299999999999</v>
      </c>
      <c r="N8" s="1" t="e">
        <f t="shared" si="4"/>
        <v>#DIV/0!</v>
      </c>
      <c r="T8" s="1" t="e">
        <f t="shared" si="5"/>
        <v>#DIV/0!</v>
      </c>
      <c r="Z8" s="1" t="e">
        <f t="shared" si="6"/>
        <v>#DIV/0!</v>
      </c>
      <c r="AA8" t="e">
        <f t="shared" si="7"/>
        <v>#DIV/0!</v>
      </c>
      <c r="AF8" s="1" t="e">
        <f t="shared" si="8"/>
        <v>#DIV/0!</v>
      </c>
      <c r="AG8" t="e">
        <f t="shared" si="9"/>
        <v>#DIV/0!</v>
      </c>
    </row>
    <row r="9" spans="1:36">
      <c r="A9">
        <v>8</v>
      </c>
      <c r="B9" s="1">
        <f t="shared" si="0"/>
        <v>1.7047998918334233</v>
      </c>
      <c r="C9">
        <f t="shared" si="1"/>
        <v>0.21309998647917791</v>
      </c>
      <c r="D9">
        <v>1.2779199999999999</v>
      </c>
      <c r="E9">
        <v>0.64313500000000001</v>
      </c>
      <c r="F9">
        <v>0.32694600000000001</v>
      </c>
      <c r="H9" s="1">
        <f t="shared" si="2"/>
        <v>0.23958614399452752</v>
      </c>
      <c r="I9">
        <f t="shared" si="3"/>
        <v>2.994826799931594E-2</v>
      </c>
      <c r="J9">
        <v>9.1634399999999996</v>
      </c>
      <c r="K9">
        <v>7.6850300000000002</v>
      </c>
      <c r="L9">
        <v>6.22431</v>
      </c>
      <c r="N9" s="1" t="e">
        <f t="shared" si="4"/>
        <v>#DIV/0!</v>
      </c>
      <c r="T9" s="1" t="e">
        <f t="shared" si="5"/>
        <v>#DIV/0!</v>
      </c>
      <c r="Z9" s="1" t="e">
        <f t="shared" si="6"/>
        <v>#DIV/0!</v>
      </c>
      <c r="AA9" t="e">
        <f t="shared" si="7"/>
        <v>#DIV/0!</v>
      </c>
      <c r="AF9" s="1" t="e">
        <f t="shared" si="8"/>
        <v>#DIV/0!</v>
      </c>
      <c r="AG9" t="e">
        <f t="shared" si="9"/>
        <v>#DIV/0!</v>
      </c>
    </row>
    <row r="22" spans="1:32">
      <c r="A22" t="s">
        <v>1</v>
      </c>
      <c r="B22" t="s">
        <v>4</v>
      </c>
      <c r="C22" t="s">
        <v>1</v>
      </c>
      <c r="D22" t="s">
        <v>22</v>
      </c>
      <c r="E22" t="s">
        <v>23</v>
      </c>
      <c r="F22" t="s">
        <v>24</v>
      </c>
      <c r="H22" t="s">
        <v>5</v>
      </c>
      <c r="N22" t="s">
        <v>15</v>
      </c>
      <c r="T22" t="s">
        <v>16</v>
      </c>
      <c r="Z22" t="s">
        <v>18</v>
      </c>
      <c r="AF22" t="s">
        <v>18</v>
      </c>
    </row>
    <row r="23" spans="1:32">
      <c r="A23">
        <f>SUM(C23:C30)/COUNT(C23:C30)</f>
        <v>2.5217399999999999</v>
      </c>
      <c r="B23">
        <v>1.8228599999999999</v>
      </c>
      <c r="C23">
        <v>2.5295299999999998</v>
      </c>
      <c r="D23">
        <v>2.20126</v>
      </c>
      <c r="E23" s="2">
        <v>1.0970899999999999</v>
      </c>
      <c r="F23">
        <v>0.53931600000000002</v>
      </c>
      <c r="H23">
        <v>5.0690600000000003</v>
      </c>
      <c r="N23">
        <v>0.287547</v>
      </c>
      <c r="T23">
        <v>0.32677099999999998</v>
      </c>
      <c r="Z23">
        <v>9.6660399999999994E-2</v>
      </c>
      <c r="AF23">
        <v>5.7244200000000002E-2</v>
      </c>
    </row>
    <row r="24" spans="1:32">
      <c r="B24">
        <v>1.4152100000000001</v>
      </c>
      <c r="C24">
        <v>2.5156999999999998</v>
      </c>
      <c r="D24">
        <v>2.1997900000000001</v>
      </c>
      <c r="E24" s="2">
        <v>1.09779</v>
      </c>
      <c r="F24">
        <v>0.53857200000000005</v>
      </c>
      <c r="H24">
        <v>3.78884</v>
      </c>
      <c r="N24">
        <v>0.32892100000000002</v>
      </c>
      <c r="T24">
        <v>0.20563500000000001</v>
      </c>
      <c r="Z24">
        <v>5.8396200000000002E-2</v>
      </c>
      <c r="AF24">
        <v>2.85791E-2</v>
      </c>
    </row>
    <row r="25" spans="1:32">
      <c r="B25">
        <v>1.4944999999999999</v>
      </c>
      <c r="C25">
        <v>2.5215999999999998</v>
      </c>
      <c r="D25">
        <v>2.1974499999999999</v>
      </c>
      <c r="E25" s="2">
        <v>1.0983400000000001</v>
      </c>
      <c r="F25">
        <v>0.54498800000000003</v>
      </c>
      <c r="H25">
        <v>6.5975099999999998</v>
      </c>
      <c r="N25">
        <v>0.54304699999999995</v>
      </c>
      <c r="T25">
        <v>0.26260600000000001</v>
      </c>
      <c r="Z25">
        <v>7.5559899999999999E-2</v>
      </c>
      <c r="AF25">
        <v>4.6314599999999997E-2</v>
      </c>
    </row>
    <row r="26" spans="1:32">
      <c r="B26">
        <v>1.41089</v>
      </c>
      <c r="C26">
        <v>2.5219999999999998</v>
      </c>
      <c r="D26">
        <v>2.19739</v>
      </c>
      <c r="E26" s="2">
        <v>1.09778</v>
      </c>
      <c r="F26">
        <v>0.53970300000000004</v>
      </c>
      <c r="H26">
        <v>6.0422700000000003</v>
      </c>
      <c r="T26">
        <v>0.23899100000000001</v>
      </c>
      <c r="Z26">
        <v>7.7440800000000004E-2</v>
      </c>
      <c r="AF26">
        <v>4.2955899999999998E-2</v>
      </c>
    </row>
    <row r="27" spans="1:32">
      <c r="B27">
        <v>1.5054700000000001</v>
      </c>
      <c r="C27">
        <v>2.5099399999999998</v>
      </c>
      <c r="D27">
        <v>2.19861</v>
      </c>
      <c r="E27" s="2">
        <v>1.12785</v>
      </c>
      <c r="F27">
        <v>0.54475799999999996</v>
      </c>
      <c r="H27">
        <v>7.49824</v>
      </c>
    </row>
    <row r="28" spans="1:32">
      <c r="B28">
        <v>1.4746999999999999</v>
      </c>
      <c r="C28">
        <v>2.52196</v>
      </c>
      <c r="D28">
        <v>2.1977099999999998</v>
      </c>
      <c r="E28" s="2">
        <v>1.0973299999999999</v>
      </c>
      <c r="F28">
        <v>0.53625599999999995</v>
      </c>
      <c r="H28">
        <v>7.2660900000000002</v>
      </c>
    </row>
    <row r="29" spans="1:32">
      <c r="B29">
        <v>1.5084200000000001</v>
      </c>
      <c r="C29">
        <v>2.5272100000000002</v>
      </c>
      <c r="D29">
        <v>2.19855</v>
      </c>
      <c r="E29" s="2">
        <v>1.09822</v>
      </c>
      <c r="F29">
        <v>0.54556899999999997</v>
      </c>
      <c r="H29">
        <v>8.8656000000000006</v>
      </c>
    </row>
    <row r="30" spans="1:32">
      <c r="B30">
        <v>1.4792000000000001</v>
      </c>
      <c r="C30">
        <v>2.5259800000000001</v>
      </c>
      <c r="D30">
        <v>2.19123</v>
      </c>
      <c r="E30" s="2">
        <v>1.09893</v>
      </c>
      <c r="F30">
        <v>0.54564999999999997</v>
      </c>
      <c r="H30">
        <v>10.525399999999999</v>
      </c>
    </row>
    <row r="31" spans="1:32">
      <c r="E31" s="2"/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D1AA0-CBD2-47D0-8E33-363FC79AC4AC}">
  <dimension ref="A1:AJ31"/>
  <sheetViews>
    <sheetView zoomScale="85" zoomScaleNormal="85" workbookViewId="0">
      <selection activeCell="E26" sqref="E26"/>
    </sheetView>
  </sheetViews>
  <sheetFormatPr defaultRowHeight="14.4"/>
  <cols>
    <col min="2" max="2" width="14.88671875" bestFit="1" customWidth="1"/>
    <col min="3" max="3" width="15.33203125" bestFit="1" customWidth="1"/>
    <col min="8" max="8" width="21" bestFit="1" customWidth="1"/>
    <col min="9" max="9" width="21.5546875" bestFit="1" customWidth="1"/>
    <col min="14" max="14" width="16.5546875" bestFit="1" customWidth="1"/>
    <col min="15" max="15" width="17" bestFit="1" customWidth="1"/>
    <col min="19" max="19" width="11.33203125" bestFit="1" customWidth="1"/>
    <col min="20" max="20" width="20.6640625" bestFit="1" customWidth="1"/>
    <col min="21" max="21" width="22.33203125" bestFit="1" customWidth="1"/>
    <col min="25" max="25" width="12.21875" bestFit="1" customWidth="1"/>
    <col min="26" max="26" width="21.33203125" bestFit="1" customWidth="1"/>
    <col min="27" max="27" width="22.33203125" bestFit="1" customWidth="1"/>
    <col min="31" max="31" width="12.21875" bestFit="1" customWidth="1"/>
  </cols>
  <sheetData>
    <row r="1" spans="1:36">
      <c r="A1" t="s">
        <v>0</v>
      </c>
      <c r="B1" t="s">
        <v>3</v>
      </c>
      <c r="C1" t="s">
        <v>2</v>
      </c>
      <c r="D1" t="s">
        <v>6</v>
      </c>
      <c r="E1" t="s">
        <v>7</v>
      </c>
      <c r="F1" t="s">
        <v>8</v>
      </c>
      <c r="H1" t="s">
        <v>10</v>
      </c>
      <c r="I1" t="s">
        <v>11</v>
      </c>
      <c r="J1" t="s">
        <v>6</v>
      </c>
      <c r="K1" t="s">
        <v>7</v>
      </c>
      <c r="L1" t="s">
        <v>8</v>
      </c>
      <c r="N1" t="s">
        <v>9</v>
      </c>
      <c r="O1" t="s">
        <v>12</v>
      </c>
      <c r="P1" t="s">
        <v>6</v>
      </c>
      <c r="Q1" t="s">
        <v>7</v>
      </c>
      <c r="R1" t="s">
        <v>8</v>
      </c>
      <c r="S1" t="s">
        <v>17</v>
      </c>
      <c r="T1" t="s">
        <v>13</v>
      </c>
      <c r="U1" t="s">
        <v>14</v>
      </c>
      <c r="V1" t="s">
        <v>6</v>
      </c>
      <c r="W1" t="s">
        <v>7</v>
      </c>
      <c r="X1" t="s">
        <v>8</v>
      </c>
      <c r="Y1" t="s">
        <v>19</v>
      </c>
      <c r="Z1" t="s">
        <v>13</v>
      </c>
      <c r="AA1" t="s">
        <v>14</v>
      </c>
      <c r="AB1" t="s">
        <v>6</v>
      </c>
      <c r="AC1" t="s">
        <v>7</v>
      </c>
      <c r="AD1" t="s">
        <v>8</v>
      </c>
      <c r="AE1" t="s">
        <v>20</v>
      </c>
      <c r="AF1" t="s">
        <v>13</v>
      </c>
      <c r="AG1" t="s">
        <v>14</v>
      </c>
      <c r="AH1" t="s">
        <v>6</v>
      </c>
      <c r="AI1" t="s">
        <v>7</v>
      </c>
      <c r="AJ1" t="s">
        <v>8</v>
      </c>
    </row>
    <row r="2" spans="1:36">
      <c r="A2">
        <v>1</v>
      </c>
      <c r="B2" s="1">
        <f>$A$23/B23</f>
        <v>1.3831332959893681</v>
      </c>
      <c r="C2">
        <f>B2/A2</f>
        <v>1.3831332959893681</v>
      </c>
      <c r="D2">
        <v>3.16771</v>
      </c>
      <c r="E2">
        <v>1.57474</v>
      </c>
      <c r="F2">
        <v>0.78945200000000004</v>
      </c>
      <c r="H2" s="1">
        <f t="shared" ref="H2:H9" si="0">$A$23/H23</f>
        <v>0.49623889228222967</v>
      </c>
      <c r="I2">
        <f>H2/A2</f>
        <v>0.49623889228222967</v>
      </c>
      <c r="J2">
        <v>8.8364999999999991</v>
      </c>
      <c r="K2">
        <v>4.4304899999999998</v>
      </c>
      <c r="L2">
        <v>2.20838</v>
      </c>
      <c r="M2" s="2">
        <v>64</v>
      </c>
      <c r="N2" s="1">
        <f>$A$23/N23</f>
        <v>15.275209395981298</v>
      </c>
      <c r="P2">
        <v>0.28099000000000002</v>
      </c>
      <c r="Q2">
        <v>0.21544199999999999</v>
      </c>
      <c r="R2">
        <v>0.18967500000000001</v>
      </c>
      <c r="S2" s="2">
        <v>1</v>
      </c>
      <c r="T2" s="1">
        <f t="shared" ref="T2:T17" si="1">$A$23/T23</f>
        <v>7.791167904324249</v>
      </c>
      <c r="V2">
        <v>0.57562100000000005</v>
      </c>
      <c r="W2">
        <v>0.29098099999999999</v>
      </c>
      <c r="X2">
        <v>0.160527</v>
      </c>
      <c r="Z2" s="1">
        <f t="shared" ref="Z2:Z17" si="2">$A$23/Z23</f>
        <v>26.195855674070533</v>
      </c>
      <c r="AA2" t="e">
        <f t="shared" ref="AA2:AA17" si="3">Z2/Y2</f>
        <v>#DIV/0!</v>
      </c>
      <c r="AB2">
        <v>0.172684</v>
      </c>
      <c r="AC2">
        <v>9.1874800000000006E-2</v>
      </c>
      <c r="AD2">
        <v>5.2789999999999997E-2</v>
      </c>
      <c r="AF2" s="1">
        <f t="shared" ref="AF2:AF17" si="4">$A$23/AF23</f>
        <v>44.231844924481919</v>
      </c>
      <c r="AG2" t="e">
        <f t="shared" ref="AG2:AG17" si="5">AF2/AE2</f>
        <v>#DIV/0!</v>
      </c>
      <c r="AH2">
        <v>9.0861899999999995E-2</v>
      </c>
      <c r="AI2">
        <v>4.9305000000000002E-2</v>
      </c>
      <c r="AJ2">
        <v>2.9887899999999998E-2</v>
      </c>
    </row>
    <row r="3" spans="1:36">
      <c r="A3">
        <v>2</v>
      </c>
      <c r="B3" s="1">
        <f>$A$23/B24</f>
        <v>1.7849540572432931</v>
      </c>
      <c r="C3">
        <f>B3/A3</f>
        <v>0.89247702862164657</v>
      </c>
      <c r="D3">
        <v>2.46061</v>
      </c>
      <c r="E3">
        <v>1.2513799999999999</v>
      </c>
      <c r="F3">
        <v>0.616568</v>
      </c>
      <c r="H3" s="1">
        <f t="shared" si="0"/>
        <v>0.66527317536396313</v>
      </c>
      <c r="I3">
        <f>H3/A3</f>
        <v>0.33263658768198157</v>
      </c>
      <c r="J3">
        <v>6.5895299999999999</v>
      </c>
      <c r="K3">
        <v>3.3054800000000002</v>
      </c>
      <c r="L3">
        <v>1.65282</v>
      </c>
      <c r="M3" s="2">
        <v>256</v>
      </c>
      <c r="N3" s="1">
        <f t="shared" ref="N3:N17" si="6">$A$23/N24</f>
        <v>11.749075747857018</v>
      </c>
      <c r="P3">
        <v>0.35623700000000003</v>
      </c>
      <c r="Q3">
        <v>0.25212499999999999</v>
      </c>
      <c r="R3">
        <v>0.19372300000000001</v>
      </c>
      <c r="S3" s="2">
        <v>2</v>
      </c>
      <c r="T3" s="1">
        <f t="shared" si="1"/>
        <v>13.207066933056456</v>
      </c>
      <c r="V3">
        <v>0.31820300000000001</v>
      </c>
      <c r="W3">
        <v>0.16930000000000001</v>
      </c>
      <c r="X3">
        <v>8.9826100000000006E-2</v>
      </c>
      <c r="Z3" s="1">
        <f t="shared" si="2"/>
        <v>44.492832031940083</v>
      </c>
      <c r="AA3" t="e">
        <f t="shared" si="3"/>
        <v>#DIV/0!</v>
      </c>
      <c r="AB3">
        <v>0.100396</v>
      </c>
      <c r="AC3">
        <v>5.9180000000000003E-2</v>
      </c>
      <c r="AD3">
        <v>4.25986E-2</v>
      </c>
      <c r="AF3" s="1">
        <f t="shared" si="4"/>
        <v>77.311973932209028</v>
      </c>
      <c r="AG3" t="e">
        <f t="shared" si="5"/>
        <v>#DIV/0!</v>
      </c>
      <c r="AH3">
        <v>6.5063800000000005E-2</v>
      </c>
      <c r="AI3">
        <v>4.0822700000000003E-2</v>
      </c>
      <c r="AJ3">
        <v>2.827E-2</v>
      </c>
    </row>
    <row r="4" spans="1:36">
      <c r="A4">
        <v>3</v>
      </c>
      <c r="B4" s="1">
        <f>$A$23/B25</f>
        <v>1.6665142015847549</v>
      </c>
      <c r="C4">
        <f>B4/A4</f>
        <v>0.55550473386158494</v>
      </c>
      <c r="D4">
        <v>2.6479300000000001</v>
      </c>
      <c r="E4">
        <v>1.36056</v>
      </c>
      <c r="F4">
        <v>0.68361000000000005</v>
      </c>
      <c r="H4" s="1">
        <f t="shared" si="0"/>
        <v>0.36627491401438311</v>
      </c>
      <c r="I4">
        <f>H4/A4</f>
        <v>0.12209163800479438</v>
      </c>
      <c r="J4">
        <v>12.793799999999999</v>
      </c>
      <c r="K4">
        <v>7.9736000000000002</v>
      </c>
      <c r="L4">
        <v>6.5167599999999997</v>
      </c>
      <c r="M4" s="2">
        <v>1024</v>
      </c>
      <c r="N4" s="1">
        <f t="shared" si="6"/>
        <v>5.9107142438060469</v>
      </c>
      <c r="P4">
        <v>0.75945200000000002</v>
      </c>
      <c r="Q4">
        <v>0.44894499999999998</v>
      </c>
      <c r="R4">
        <v>0.36229899999999998</v>
      </c>
      <c r="S4" s="2">
        <v>3</v>
      </c>
      <c r="T4" s="1">
        <f t="shared" si="1"/>
        <v>9.6708171900978765</v>
      </c>
      <c r="V4">
        <v>0.41378700000000002</v>
      </c>
      <c r="W4">
        <v>0.21575</v>
      </c>
      <c r="X4">
        <v>0.12363399999999999</v>
      </c>
      <c r="Z4" s="1">
        <f t="shared" si="2"/>
        <v>32.277659942584719</v>
      </c>
      <c r="AA4" t="e">
        <f t="shared" si="3"/>
        <v>#DIV/0!</v>
      </c>
      <c r="AB4">
        <v>0.13641</v>
      </c>
      <c r="AC4">
        <v>8.4665199999999996E-2</v>
      </c>
      <c r="AD4">
        <v>5.2323700000000001E-2</v>
      </c>
      <c r="AF4" s="1">
        <f t="shared" si="4"/>
        <v>61.259635053717936</v>
      </c>
      <c r="AG4" t="e">
        <f t="shared" si="5"/>
        <v>#DIV/0!</v>
      </c>
      <c r="AH4">
        <v>7.2802000000000006E-2</v>
      </c>
      <c r="AI4">
        <v>4.6121799999999998E-2</v>
      </c>
      <c r="AJ4">
        <v>3.2312399999999998E-2</v>
      </c>
    </row>
    <row r="5" spans="1:36">
      <c r="A5">
        <v>4</v>
      </c>
      <c r="B5" s="1">
        <f>$A$23/B26</f>
        <v>1.7814693847236616</v>
      </c>
      <c r="C5">
        <f>B5/A5</f>
        <v>0.44536734618091539</v>
      </c>
      <c r="D5">
        <v>2.5436700000000001</v>
      </c>
      <c r="E5">
        <v>1.2684599999999999</v>
      </c>
      <c r="F5">
        <v>0.63315900000000003</v>
      </c>
      <c r="H5" s="1">
        <f t="shared" si="0"/>
        <v>0.42363291927032964</v>
      </c>
      <c r="I5">
        <f>H5/A5</f>
        <v>0.10590822981758241</v>
      </c>
      <c r="J5">
        <v>11.468500000000001</v>
      </c>
      <c r="K5">
        <v>7.8412300000000004</v>
      </c>
      <c r="L5">
        <v>6.5334500000000002</v>
      </c>
      <c r="N5" s="1" t="e">
        <f t="shared" si="6"/>
        <v>#DIV/0!</v>
      </c>
      <c r="S5" s="2">
        <v>4</v>
      </c>
      <c r="T5" s="1">
        <f t="shared" si="1"/>
        <v>11.563403189557608</v>
      </c>
      <c r="V5">
        <v>0.34168399999999999</v>
      </c>
      <c r="W5">
        <v>0.22053900000000001</v>
      </c>
      <c r="X5">
        <v>0.14854200000000001</v>
      </c>
      <c r="Z5" s="1">
        <f t="shared" si="2"/>
        <v>33.711617743511496</v>
      </c>
      <c r="AA5" t="e">
        <f t="shared" si="3"/>
        <v>#DIV/0!</v>
      </c>
      <c r="AB5">
        <v>0.150009</v>
      </c>
      <c r="AC5">
        <v>9.3718999999999997E-2</v>
      </c>
      <c r="AD5">
        <v>5.8287100000000001E-2</v>
      </c>
      <c r="AF5" s="1">
        <f t="shared" si="4"/>
        <v>60.374783203824968</v>
      </c>
      <c r="AG5" t="e">
        <f t="shared" si="5"/>
        <v>#DIV/0!</v>
      </c>
      <c r="AH5">
        <v>8.0377199999999996E-2</v>
      </c>
      <c r="AI5">
        <v>4.86785E-2</v>
      </c>
      <c r="AJ5">
        <v>3.8438600000000003E-2</v>
      </c>
    </row>
    <row r="6" spans="1:36">
      <c r="A6">
        <v>5</v>
      </c>
      <c r="B6" s="1">
        <f>$A$23/B27</f>
        <v>1.6602194785119366</v>
      </c>
      <c r="C6">
        <f>B6/A6</f>
        <v>0.33204389570238735</v>
      </c>
      <c r="D6">
        <v>2.6479499999999998</v>
      </c>
      <c r="E6">
        <v>1.35084</v>
      </c>
      <c r="F6">
        <v>0.66869100000000004</v>
      </c>
      <c r="H6" s="1">
        <f t="shared" si="0"/>
        <v>0.33917047665860905</v>
      </c>
      <c r="I6">
        <f>H6/A6</f>
        <v>6.7834095331721814E-2</v>
      </c>
      <c r="J6">
        <v>13.3368</v>
      </c>
      <c r="K6">
        <v>10.033899999999999</v>
      </c>
      <c r="L6">
        <v>8.2529400000000006</v>
      </c>
      <c r="N6" s="1" t="e">
        <f t="shared" si="6"/>
        <v>#DIV/0!</v>
      </c>
      <c r="T6" s="1" t="e">
        <f t="shared" si="1"/>
        <v>#DIV/0!</v>
      </c>
      <c r="Z6" s="1" t="e">
        <f t="shared" si="2"/>
        <v>#DIV/0!</v>
      </c>
      <c r="AA6" t="e">
        <f t="shared" si="3"/>
        <v>#DIV/0!</v>
      </c>
      <c r="AF6" s="1" t="e">
        <f t="shared" si="4"/>
        <v>#DIV/0!</v>
      </c>
      <c r="AG6" t="e">
        <f t="shared" si="5"/>
        <v>#DIV/0!</v>
      </c>
    </row>
    <row r="7" spans="1:36">
      <c r="A7">
        <v>6</v>
      </c>
      <c r="B7" s="1">
        <f>$A$23/B28</f>
        <v>1.7065966810771254</v>
      </c>
      <c r="C7">
        <f>B7/A7</f>
        <v>0.28443278017952089</v>
      </c>
      <c r="D7">
        <v>2.5718100000000002</v>
      </c>
      <c r="E7">
        <v>1.27536</v>
      </c>
      <c r="F7">
        <v>0.64328300000000005</v>
      </c>
      <c r="H7" s="1">
        <f t="shared" si="0"/>
        <v>0.35232517066756203</v>
      </c>
      <c r="I7">
        <f>H7/A7</f>
        <v>5.8720861777927007E-2</v>
      </c>
      <c r="J7">
        <v>13.197699999999999</v>
      </c>
      <c r="K7">
        <v>9.9563000000000006</v>
      </c>
      <c r="L7">
        <v>8.0739300000000007</v>
      </c>
      <c r="N7" s="1" t="e">
        <f t="shared" si="6"/>
        <v>#DIV/0!</v>
      </c>
      <c r="T7" s="1" t="e">
        <f t="shared" si="1"/>
        <v>#DIV/0!</v>
      </c>
      <c r="Z7" s="1" t="e">
        <f t="shared" si="2"/>
        <v>#DIV/0!</v>
      </c>
      <c r="AA7" t="e">
        <f t="shared" si="3"/>
        <v>#DIV/0!</v>
      </c>
      <c r="AF7" s="1" t="e">
        <f t="shared" si="4"/>
        <v>#DIV/0!</v>
      </c>
      <c r="AG7" t="e">
        <f t="shared" si="5"/>
        <v>#DIV/0!</v>
      </c>
    </row>
    <row r="8" spans="1:36">
      <c r="A8">
        <v>7</v>
      </c>
      <c r="B8" s="1">
        <f>$A$23/B29</f>
        <v>1.6646801922085479</v>
      </c>
      <c r="C8">
        <f>B8/A8</f>
        <v>0.23781145602979256</v>
      </c>
      <c r="D8">
        <v>2.6372</v>
      </c>
      <c r="E8">
        <v>1.3201099999999999</v>
      </c>
      <c r="F8">
        <v>0.66574599999999995</v>
      </c>
      <c r="H8" s="1">
        <f t="shared" si="0"/>
        <v>0.30427328355864836</v>
      </c>
      <c r="I8">
        <f>H8/A8</f>
        <v>4.3467611936949764E-2</v>
      </c>
      <c r="J8">
        <v>18.460899999999999</v>
      </c>
      <c r="K8">
        <v>14.410399999999999</v>
      </c>
      <c r="L8">
        <v>11.9877</v>
      </c>
      <c r="N8" s="1" t="e">
        <f t="shared" si="6"/>
        <v>#DIV/0!</v>
      </c>
      <c r="T8" s="1" t="e">
        <f t="shared" si="1"/>
        <v>#DIV/0!</v>
      </c>
      <c r="Z8" s="1" t="e">
        <f t="shared" si="2"/>
        <v>#DIV/0!</v>
      </c>
      <c r="AA8" t="e">
        <f t="shared" si="3"/>
        <v>#DIV/0!</v>
      </c>
      <c r="AF8" s="1" t="e">
        <f t="shared" si="4"/>
        <v>#DIV/0!</v>
      </c>
      <c r="AG8" t="e">
        <f t="shared" si="5"/>
        <v>#DIV/0!</v>
      </c>
    </row>
    <row r="9" spans="1:36">
      <c r="A9">
        <v>8</v>
      </c>
      <c r="B9" s="1">
        <f>$A$23/B30</f>
        <v>1.7063076292487283</v>
      </c>
      <c r="C9">
        <f>B9/A9</f>
        <v>0.21328845365609103</v>
      </c>
      <c r="D9">
        <v>2.5891600000000001</v>
      </c>
      <c r="E9">
        <v>1.2836399999999999</v>
      </c>
      <c r="F9">
        <v>0.642509</v>
      </c>
      <c r="H9" s="1">
        <f t="shared" si="0"/>
        <v>0.26004896772827946</v>
      </c>
      <c r="I9">
        <f>H9/A9</f>
        <v>3.2506120966034932E-2</v>
      </c>
      <c r="J9">
        <v>18.639800000000001</v>
      </c>
      <c r="K9">
        <v>15.1777</v>
      </c>
      <c r="L9">
        <v>14.324</v>
      </c>
      <c r="N9" s="1" t="e">
        <f t="shared" si="6"/>
        <v>#DIV/0!</v>
      </c>
      <c r="T9" s="1" t="e">
        <f t="shared" si="1"/>
        <v>#DIV/0!</v>
      </c>
      <c r="Z9" s="1" t="e">
        <f t="shared" si="2"/>
        <v>#DIV/0!</v>
      </c>
      <c r="AA9" t="e">
        <f t="shared" si="3"/>
        <v>#DIV/0!</v>
      </c>
      <c r="AF9" s="1" t="e">
        <f t="shared" si="4"/>
        <v>#DIV/0!</v>
      </c>
      <c r="AG9" t="e">
        <f t="shared" si="5"/>
        <v>#DIV/0!</v>
      </c>
    </row>
    <row r="10" spans="1:36">
      <c r="A10">
        <v>9</v>
      </c>
      <c r="B10" s="1" t="e">
        <f>$A$23/B31</f>
        <v>#DIV/0!</v>
      </c>
      <c r="C10" t="e">
        <f>B10/A10</f>
        <v>#DIV/0!</v>
      </c>
      <c r="H10" s="1" t="e">
        <f>$A$23/#REF!</f>
        <v>#REF!</v>
      </c>
      <c r="I10" t="e">
        <f>H10/A10</f>
        <v>#REF!</v>
      </c>
      <c r="N10" s="1" t="e">
        <f t="shared" si="6"/>
        <v>#DIV/0!</v>
      </c>
      <c r="T10" s="1" t="e">
        <f t="shared" si="1"/>
        <v>#DIV/0!</v>
      </c>
      <c r="Z10" s="1" t="e">
        <f t="shared" si="2"/>
        <v>#DIV/0!</v>
      </c>
      <c r="AA10" t="e">
        <f t="shared" si="3"/>
        <v>#DIV/0!</v>
      </c>
      <c r="AF10" s="1" t="e">
        <f t="shared" si="4"/>
        <v>#DIV/0!</v>
      </c>
      <c r="AG10" t="e">
        <f t="shared" si="5"/>
        <v>#DIV/0!</v>
      </c>
    </row>
    <row r="11" spans="1:36">
      <c r="A11">
        <v>10</v>
      </c>
      <c r="B11" s="1" t="e">
        <f>$A$23/B32</f>
        <v>#DIV/0!</v>
      </c>
      <c r="C11" t="e">
        <f>B11/A11</f>
        <v>#DIV/0!</v>
      </c>
      <c r="H11" s="1" t="e">
        <f>$A$23/H31</f>
        <v>#DIV/0!</v>
      </c>
      <c r="I11" t="e">
        <f>H11/A11</f>
        <v>#DIV/0!</v>
      </c>
      <c r="N11" s="1" t="e">
        <f t="shared" si="6"/>
        <v>#DIV/0!</v>
      </c>
      <c r="T11" s="1" t="e">
        <f t="shared" si="1"/>
        <v>#DIV/0!</v>
      </c>
      <c r="Z11" s="1" t="e">
        <f t="shared" si="2"/>
        <v>#DIV/0!</v>
      </c>
      <c r="AA11" t="e">
        <f t="shared" si="3"/>
        <v>#DIV/0!</v>
      </c>
      <c r="AF11" s="1" t="e">
        <f t="shared" si="4"/>
        <v>#DIV/0!</v>
      </c>
      <c r="AG11" t="e">
        <f t="shared" si="5"/>
        <v>#DIV/0!</v>
      </c>
    </row>
    <row r="12" spans="1:36">
      <c r="A12">
        <v>11</v>
      </c>
      <c r="B12" s="1" t="e">
        <f>$A$23/B33</f>
        <v>#DIV/0!</v>
      </c>
      <c r="C12" t="e">
        <f>B12/A12</f>
        <v>#DIV/0!</v>
      </c>
      <c r="H12" s="1" t="e">
        <f t="shared" ref="H12:H17" si="7">$A$23/H33</f>
        <v>#DIV/0!</v>
      </c>
      <c r="I12" t="e">
        <f>H12/A12</f>
        <v>#DIV/0!</v>
      </c>
      <c r="N12" s="1" t="e">
        <f t="shared" si="6"/>
        <v>#DIV/0!</v>
      </c>
      <c r="T12" s="1" t="e">
        <f t="shared" si="1"/>
        <v>#DIV/0!</v>
      </c>
      <c r="Z12" s="1" t="e">
        <f t="shared" si="2"/>
        <v>#DIV/0!</v>
      </c>
      <c r="AA12" t="e">
        <f t="shared" si="3"/>
        <v>#DIV/0!</v>
      </c>
      <c r="AF12" s="1" t="e">
        <f t="shared" si="4"/>
        <v>#DIV/0!</v>
      </c>
      <c r="AG12" t="e">
        <f t="shared" si="5"/>
        <v>#DIV/0!</v>
      </c>
    </row>
    <row r="13" spans="1:36">
      <c r="A13">
        <v>12</v>
      </c>
      <c r="B13" s="1" t="e">
        <f>$A$23/B34</f>
        <v>#DIV/0!</v>
      </c>
      <c r="C13" t="e">
        <f>B13/A13</f>
        <v>#DIV/0!</v>
      </c>
      <c r="H13" s="1" t="e">
        <f t="shared" si="7"/>
        <v>#DIV/0!</v>
      </c>
      <c r="I13" t="e">
        <f>H13/A13</f>
        <v>#DIV/0!</v>
      </c>
      <c r="N13" s="1" t="e">
        <f t="shared" si="6"/>
        <v>#DIV/0!</v>
      </c>
      <c r="T13" s="1" t="e">
        <f t="shared" si="1"/>
        <v>#DIV/0!</v>
      </c>
      <c r="Z13" s="1" t="e">
        <f t="shared" si="2"/>
        <v>#DIV/0!</v>
      </c>
      <c r="AA13" t="e">
        <f t="shared" si="3"/>
        <v>#DIV/0!</v>
      </c>
      <c r="AF13" s="1" t="e">
        <f t="shared" si="4"/>
        <v>#DIV/0!</v>
      </c>
      <c r="AG13" t="e">
        <f t="shared" si="5"/>
        <v>#DIV/0!</v>
      </c>
    </row>
    <row r="14" spans="1:36">
      <c r="A14">
        <v>13</v>
      </c>
      <c r="B14" s="1" t="e">
        <f>$A$23/B35</f>
        <v>#DIV/0!</v>
      </c>
      <c r="C14" t="e">
        <f>B14/A14</f>
        <v>#DIV/0!</v>
      </c>
      <c r="H14" s="1" t="e">
        <f t="shared" si="7"/>
        <v>#DIV/0!</v>
      </c>
      <c r="I14" t="e">
        <f>H14/A14</f>
        <v>#DIV/0!</v>
      </c>
      <c r="N14" s="1" t="e">
        <f t="shared" si="6"/>
        <v>#DIV/0!</v>
      </c>
      <c r="T14" s="1" t="e">
        <f t="shared" si="1"/>
        <v>#DIV/0!</v>
      </c>
      <c r="Z14" s="1" t="e">
        <f t="shared" si="2"/>
        <v>#DIV/0!</v>
      </c>
      <c r="AA14" t="e">
        <f t="shared" si="3"/>
        <v>#DIV/0!</v>
      </c>
      <c r="AF14" s="1" t="e">
        <f t="shared" si="4"/>
        <v>#DIV/0!</v>
      </c>
      <c r="AG14" t="e">
        <f t="shared" si="5"/>
        <v>#DIV/0!</v>
      </c>
    </row>
    <row r="15" spans="1:36">
      <c r="A15">
        <v>14</v>
      </c>
      <c r="B15" s="1" t="e">
        <f>$A$23/B36</f>
        <v>#DIV/0!</v>
      </c>
      <c r="C15" t="e">
        <f>B15/A15</f>
        <v>#DIV/0!</v>
      </c>
      <c r="H15" s="1" t="e">
        <f t="shared" si="7"/>
        <v>#DIV/0!</v>
      </c>
      <c r="I15" t="e">
        <f>H15/A15</f>
        <v>#DIV/0!</v>
      </c>
      <c r="N15" s="1" t="e">
        <f t="shared" si="6"/>
        <v>#DIV/0!</v>
      </c>
      <c r="T15" s="1" t="e">
        <f t="shared" si="1"/>
        <v>#DIV/0!</v>
      </c>
      <c r="Z15" s="1" t="e">
        <f t="shared" si="2"/>
        <v>#DIV/0!</v>
      </c>
      <c r="AA15" t="e">
        <f t="shared" si="3"/>
        <v>#DIV/0!</v>
      </c>
      <c r="AF15" s="1" t="e">
        <f t="shared" si="4"/>
        <v>#DIV/0!</v>
      </c>
      <c r="AG15" t="e">
        <f t="shared" si="5"/>
        <v>#DIV/0!</v>
      </c>
    </row>
    <row r="16" spans="1:36">
      <c r="A16">
        <v>15</v>
      </c>
      <c r="B16" s="1" t="e">
        <f>$A$23/B37</f>
        <v>#DIV/0!</v>
      </c>
      <c r="C16" t="e">
        <f>B16/A16</f>
        <v>#DIV/0!</v>
      </c>
      <c r="H16" s="1" t="e">
        <f t="shared" si="7"/>
        <v>#DIV/0!</v>
      </c>
      <c r="I16" t="e">
        <f>H16/A16</f>
        <v>#DIV/0!</v>
      </c>
      <c r="N16" s="1" t="e">
        <f t="shared" si="6"/>
        <v>#DIV/0!</v>
      </c>
      <c r="T16" s="1" t="e">
        <f t="shared" si="1"/>
        <v>#DIV/0!</v>
      </c>
      <c r="Z16" s="1" t="e">
        <f t="shared" si="2"/>
        <v>#DIV/0!</v>
      </c>
      <c r="AA16" t="e">
        <f t="shared" si="3"/>
        <v>#DIV/0!</v>
      </c>
      <c r="AF16" s="1" t="e">
        <f t="shared" si="4"/>
        <v>#DIV/0!</v>
      </c>
      <c r="AG16" t="e">
        <f t="shared" si="5"/>
        <v>#DIV/0!</v>
      </c>
    </row>
    <row r="17" spans="1:33">
      <c r="A17">
        <v>16</v>
      </c>
      <c r="B17" s="1" t="e">
        <f>$A$23/B38</f>
        <v>#DIV/0!</v>
      </c>
      <c r="C17" t="e">
        <f>B17/A17</f>
        <v>#DIV/0!</v>
      </c>
      <c r="H17" s="1" t="e">
        <f t="shared" si="7"/>
        <v>#DIV/0!</v>
      </c>
      <c r="I17" t="e">
        <f>H17/A17</f>
        <v>#DIV/0!</v>
      </c>
      <c r="N17" s="1" t="e">
        <f t="shared" si="6"/>
        <v>#DIV/0!</v>
      </c>
      <c r="T17" s="1" t="e">
        <f t="shared" si="1"/>
        <v>#DIV/0!</v>
      </c>
      <c r="Z17" s="1" t="e">
        <f t="shared" si="2"/>
        <v>#DIV/0!</v>
      </c>
      <c r="AA17" t="e">
        <f t="shared" si="3"/>
        <v>#DIV/0!</v>
      </c>
      <c r="AF17" s="1" t="e">
        <f t="shared" si="4"/>
        <v>#DIV/0!</v>
      </c>
      <c r="AG17" t="e">
        <f t="shared" si="5"/>
        <v>#DIV/0!</v>
      </c>
    </row>
    <row r="22" spans="1:33">
      <c r="A22" t="s">
        <v>1</v>
      </c>
      <c r="B22" t="s">
        <v>4</v>
      </c>
      <c r="C22" t="s">
        <v>1</v>
      </c>
      <c r="D22" t="s">
        <v>6</v>
      </c>
      <c r="E22" t="s">
        <v>7</v>
      </c>
      <c r="F22" t="s">
        <v>8</v>
      </c>
      <c r="H22" t="s">
        <v>5</v>
      </c>
      <c r="N22" t="s">
        <v>15</v>
      </c>
      <c r="T22" t="s">
        <v>16</v>
      </c>
      <c r="Z22" t="s">
        <v>18</v>
      </c>
      <c r="AF22" t="s">
        <v>18</v>
      </c>
    </row>
    <row r="23" spans="1:33">
      <c r="A23">
        <f>SUM([1]Sheet1!F27:F34)/COUNT([1]Sheet1!F27:F34)</f>
        <v>5.0371225000000006</v>
      </c>
      <c r="B23">
        <v>3.6418200000000001</v>
      </c>
      <c r="C23">
        <v>5.0436100000000001</v>
      </c>
      <c r="D23">
        <v>4.3851199999999997</v>
      </c>
      <c r="E23" s="2">
        <v>2.1951299999999998</v>
      </c>
      <c r="F23">
        <v>1.09998</v>
      </c>
      <c r="H23">
        <v>10.150600000000001</v>
      </c>
      <c r="N23">
        <v>0.329758</v>
      </c>
      <c r="T23">
        <v>0.64651700000000001</v>
      </c>
      <c r="Z23">
        <v>0.19228700000000001</v>
      </c>
      <c r="AF23">
        <v>0.11388</v>
      </c>
    </row>
    <row r="24" spans="1:33">
      <c r="B24">
        <v>2.82199</v>
      </c>
      <c r="C24">
        <v>5.0271999999999997</v>
      </c>
      <c r="D24">
        <v>4.3852700000000002</v>
      </c>
      <c r="E24" s="2">
        <v>2.1959399999999998</v>
      </c>
      <c r="F24">
        <v>1.09948</v>
      </c>
      <c r="H24">
        <v>7.57151</v>
      </c>
      <c r="N24">
        <v>0.42872500000000002</v>
      </c>
      <c r="T24">
        <v>0.38139600000000001</v>
      </c>
      <c r="Z24">
        <v>0.11321199999999999</v>
      </c>
      <c r="AF24">
        <v>6.5153199999999994E-2</v>
      </c>
    </row>
    <row r="25" spans="1:33">
      <c r="B25">
        <v>3.0225499999999998</v>
      </c>
      <c r="C25">
        <v>5.0389600000000003</v>
      </c>
      <c r="D25">
        <v>4.4037699999999997</v>
      </c>
      <c r="E25" s="2">
        <v>2.1955300000000002</v>
      </c>
      <c r="F25">
        <v>1.0838000000000001</v>
      </c>
      <c r="H25">
        <v>13.7523</v>
      </c>
      <c r="N25">
        <v>0.85220200000000002</v>
      </c>
      <c r="T25">
        <v>0.52085800000000004</v>
      </c>
      <c r="Z25">
        <v>0.156056</v>
      </c>
      <c r="AF25">
        <v>8.2225800000000002E-2</v>
      </c>
    </row>
    <row r="26" spans="1:33">
      <c r="B26">
        <v>2.8275100000000002</v>
      </c>
      <c r="C26">
        <v>5.0452199999999996</v>
      </c>
      <c r="D26">
        <v>4.39581</v>
      </c>
      <c r="E26" s="2">
        <v>2.2028300000000001</v>
      </c>
      <c r="F26">
        <v>1.07691</v>
      </c>
      <c r="H26">
        <v>11.8903</v>
      </c>
      <c r="T26">
        <v>0.43560900000000002</v>
      </c>
      <c r="Z26">
        <v>0.149418</v>
      </c>
      <c r="AF26">
        <v>8.3430900000000002E-2</v>
      </c>
    </row>
    <row r="27" spans="1:33">
      <c r="B27">
        <v>3.0340099999999999</v>
      </c>
      <c r="C27">
        <v>5.03573</v>
      </c>
      <c r="D27">
        <v>4.4049399999999999</v>
      </c>
      <c r="E27" s="2">
        <v>2.1963699999999999</v>
      </c>
      <c r="F27">
        <v>1.0892500000000001</v>
      </c>
      <c r="H27">
        <v>14.8513</v>
      </c>
    </row>
    <row r="28" spans="1:33">
      <c r="B28">
        <v>2.9515600000000002</v>
      </c>
      <c r="C28">
        <v>5.0329800000000002</v>
      </c>
      <c r="D28">
        <v>4.40313</v>
      </c>
      <c r="E28" s="2">
        <v>2.1974300000000002</v>
      </c>
      <c r="F28">
        <v>1.09718</v>
      </c>
      <c r="H28">
        <v>14.296799999999999</v>
      </c>
    </row>
    <row r="29" spans="1:33">
      <c r="B29">
        <v>3.0258799999999999</v>
      </c>
      <c r="C29">
        <v>5.0310800000000002</v>
      </c>
      <c r="D29">
        <v>4.3912500000000003</v>
      </c>
      <c r="E29" s="2">
        <v>2.1939000000000002</v>
      </c>
      <c r="F29">
        <v>1.0893999999999999</v>
      </c>
      <c r="H29">
        <v>16.554600000000001</v>
      </c>
    </row>
    <row r="30" spans="1:33">
      <c r="B30">
        <v>2.9520599999999999</v>
      </c>
      <c r="C30">
        <v>5.0422000000000002</v>
      </c>
      <c r="D30">
        <v>4.3993399999999996</v>
      </c>
      <c r="E30" s="2">
        <v>2.2014999999999998</v>
      </c>
      <c r="F30">
        <v>1.09137</v>
      </c>
      <c r="H30">
        <v>19.369900000000001</v>
      </c>
    </row>
    <row r="31" spans="1:33">
      <c r="E31" s="2"/>
    </row>
  </sheetData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1C770-3C46-4386-8E34-527D3F4B86DE}">
  <dimension ref="A1:AJ30"/>
  <sheetViews>
    <sheetView zoomScale="85" zoomScaleNormal="85" workbookViewId="0">
      <selection activeCell="C22" sqref="C22:C30"/>
    </sheetView>
  </sheetViews>
  <sheetFormatPr defaultRowHeight="14.4"/>
  <cols>
    <col min="2" max="2" width="14.88671875" bestFit="1" customWidth="1"/>
    <col min="3" max="3" width="15.33203125" bestFit="1" customWidth="1"/>
    <col min="8" max="8" width="21" bestFit="1" customWidth="1"/>
    <col min="9" max="9" width="21.5546875" bestFit="1" customWidth="1"/>
    <col min="14" max="14" width="16.5546875" bestFit="1" customWidth="1"/>
    <col min="15" max="15" width="17" bestFit="1" customWidth="1"/>
    <col min="19" max="19" width="11.33203125" bestFit="1" customWidth="1"/>
    <col min="20" max="20" width="20.6640625" bestFit="1" customWidth="1"/>
    <col min="21" max="21" width="22.33203125" bestFit="1" customWidth="1"/>
    <col min="25" max="25" width="12.21875" bestFit="1" customWidth="1"/>
    <col min="26" max="26" width="21.33203125" bestFit="1" customWidth="1"/>
    <col min="27" max="27" width="22.33203125" bestFit="1" customWidth="1"/>
    <col min="31" max="31" width="12.21875" bestFit="1" customWidth="1"/>
  </cols>
  <sheetData>
    <row r="1" spans="1:36">
      <c r="A1" t="s">
        <v>0</v>
      </c>
      <c r="B1" t="s">
        <v>3</v>
      </c>
      <c r="C1" t="s">
        <v>2</v>
      </c>
      <c r="D1" t="s">
        <v>6</v>
      </c>
      <c r="E1" t="s">
        <v>7</v>
      </c>
      <c r="F1" t="s">
        <v>8</v>
      </c>
      <c r="H1" t="s">
        <v>10</v>
      </c>
      <c r="I1" t="s">
        <v>11</v>
      </c>
      <c r="J1" t="s">
        <v>6</v>
      </c>
      <c r="K1" t="s">
        <v>7</v>
      </c>
      <c r="L1" t="s">
        <v>8</v>
      </c>
      <c r="N1" t="s">
        <v>9</v>
      </c>
      <c r="O1" t="s">
        <v>12</v>
      </c>
      <c r="P1" t="s">
        <v>6</v>
      </c>
      <c r="Q1" t="s">
        <v>7</v>
      </c>
      <c r="R1" t="s">
        <v>8</v>
      </c>
      <c r="S1" t="s">
        <v>17</v>
      </c>
      <c r="T1" t="s">
        <v>13</v>
      </c>
      <c r="U1" t="s">
        <v>14</v>
      </c>
      <c r="V1" t="s">
        <v>6</v>
      </c>
      <c r="W1" t="s">
        <v>7</v>
      </c>
      <c r="X1" t="s">
        <v>8</v>
      </c>
      <c r="Y1" t="s">
        <v>19</v>
      </c>
      <c r="Z1" t="s">
        <v>13</v>
      </c>
      <c r="AA1" t="s">
        <v>14</v>
      </c>
      <c r="AB1" t="s">
        <v>6</v>
      </c>
      <c r="AC1" t="s">
        <v>7</v>
      </c>
      <c r="AD1" t="s">
        <v>8</v>
      </c>
      <c r="AE1" t="s">
        <v>20</v>
      </c>
      <c r="AF1" t="s">
        <v>13</v>
      </c>
      <c r="AG1" t="s">
        <v>14</v>
      </c>
      <c r="AH1" t="s">
        <v>6</v>
      </c>
      <c r="AI1" t="s">
        <v>7</v>
      </c>
      <c r="AJ1" t="s">
        <v>8</v>
      </c>
    </row>
    <row r="2" spans="1:36">
      <c r="A2">
        <v>1</v>
      </c>
      <c r="B2" s="1">
        <f t="shared" ref="B2:B17" si="0">$A$23/B23</f>
        <v>1.3905940962255732</v>
      </c>
      <c r="C2">
        <f t="shared" ref="C2:C17" si="1">B2/A2</f>
        <v>1.3905940962255732</v>
      </c>
      <c r="D2">
        <v>6.3025900000000004</v>
      </c>
      <c r="E2">
        <v>3.1543100000000002</v>
      </c>
      <c r="F2">
        <v>1.5675300000000001</v>
      </c>
      <c r="H2" s="1">
        <f t="shared" ref="H2:H17" si="2">$A$23/H23</f>
        <v>0.49894614856216618</v>
      </c>
      <c r="I2">
        <f>H2/A2</f>
        <v>0.49894614856216618</v>
      </c>
      <c r="J2">
        <v>17.616599999999998</v>
      </c>
      <c r="K2">
        <v>8.8056199999999993</v>
      </c>
      <c r="L2">
        <v>4.3854800000000003</v>
      </c>
      <c r="M2" s="2">
        <v>64</v>
      </c>
      <c r="N2" s="1">
        <f t="shared" ref="N2:N17" si="3">$A$23/N23</f>
        <v>24.027656141419719</v>
      </c>
      <c r="P2">
        <v>0.35366300000000001</v>
      </c>
      <c r="Q2">
        <v>0.25898900000000002</v>
      </c>
      <c r="R2">
        <v>0.195934</v>
      </c>
      <c r="S2" s="2">
        <v>1</v>
      </c>
      <c r="T2" s="1">
        <f t="shared" ref="T2:T17" si="4">$A$23/T23</f>
        <v>7.6769379918640457</v>
      </c>
      <c r="V2">
        <v>1.1587099999999999</v>
      </c>
      <c r="W2">
        <v>0.58860500000000004</v>
      </c>
      <c r="X2">
        <v>0.31811499999999998</v>
      </c>
      <c r="Z2" s="1">
        <f>$A$23/Z23</f>
        <v>24.368364142778184</v>
      </c>
      <c r="AA2" t="e">
        <f t="shared" ref="AA2:AA17" si="5">Z2/Y2</f>
        <v>#DIV/0!</v>
      </c>
      <c r="AB2">
        <v>0.34535300000000002</v>
      </c>
      <c r="AC2">
        <v>0.185527</v>
      </c>
      <c r="AD2">
        <v>0.10630299999999999</v>
      </c>
      <c r="AF2" s="1">
        <f t="shared" ref="AF2:AF17" si="6">$A$23/AF23</f>
        <v>51.303767880281512</v>
      </c>
      <c r="AG2" t="e">
        <f t="shared" ref="AG2:AG17" si="7">AF2/AE2</f>
        <v>#DIV/0!</v>
      </c>
      <c r="AH2">
        <v>0.17366000000000001</v>
      </c>
      <c r="AI2">
        <v>9.4335500000000003E-2</v>
      </c>
      <c r="AJ2">
        <v>5.4970400000000003E-2</v>
      </c>
    </row>
    <row r="3" spans="1:36">
      <c r="A3">
        <v>2</v>
      </c>
      <c r="B3" s="1">
        <f t="shared" si="0"/>
        <v>1.7797121810114913</v>
      </c>
      <c r="C3">
        <f t="shared" si="1"/>
        <v>0.88985609050574566</v>
      </c>
      <c r="D3">
        <v>4.9273699999999998</v>
      </c>
      <c r="E3">
        <v>2.45783</v>
      </c>
      <c r="F3">
        <v>1.2262500000000001</v>
      </c>
      <c r="H3" s="1">
        <f t="shared" si="2"/>
        <v>0.66565079511590497</v>
      </c>
      <c r="I3">
        <f t="shared" ref="I3:I17" si="8">H3/A3</f>
        <v>0.33282539755795248</v>
      </c>
      <c r="J3">
        <v>14.5136</v>
      </c>
      <c r="K3">
        <v>6.5915400000000002</v>
      </c>
      <c r="L3">
        <v>3.2911800000000002</v>
      </c>
      <c r="M3" s="2">
        <v>256</v>
      </c>
      <c r="N3" s="1">
        <f t="shared" si="3"/>
        <v>16.873779966039603</v>
      </c>
      <c r="P3">
        <v>0.53966499999999995</v>
      </c>
      <c r="Q3">
        <v>0.33545199999999997</v>
      </c>
      <c r="R3">
        <v>0.25651600000000002</v>
      </c>
      <c r="S3" s="2">
        <v>2</v>
      </c>
      <c r="T3" s="1">
        <f t="shared" si="4"/>
        <v>13.931172893591951</v>
      </c>
      <c r="V3">
        <v>0.64312899999999995</v>
      </c>
      <c r="W3">
        <v>0.32638899999999998</v>
      </c>
      <c r="X3">
        <v>0.17841399999999999</v>
      </c>
      <c r="Z3" s="1">
        <f>$A$23/Z24</f>
        <v>46.183552670701197</v>
      </c>
      <c r="AA3" t="e">
        <f t="shared" si="5"/>
        <v>#DIV/0!</v>
      </c>
      <c r="AB3">
        <v>0.19478100000000001</v>
      </c>
      <c r="AC3">
        <v>0.114949</v>
      </c>
      <c r="AD3">
        <v>7.8693799999999994E-2</v>
      </c>
      <c r="AF3" s="1">
        <f t="shared" si="6"/>
        <v>89.890534019480398</v>
      </c>
      <c r="AG3" t="e">
        <f t="shared" si="7"/>
        <v>#DIV/0!</v>
      </c>
      <c r="AH3">
        <v>0.104643</v>
      </c>
      <c r="AI3">
        <v>6.7962499999999995E-2</v>
      </c>
      <c r="AJ3">
        <v>4.8247900000000003E-2</v>
      </c>
    </row>
    <row r="4" spans="1:36">
      <c r="A4">
        <v>3</v>
      </c>
      <c r="B4" s="1">
        <f t="shared" si="0"/>
        <v>1.6756523730729207</v>
      </c>
      <c r="C4">
        <f t="shared" si="1"/>
        <v>0.55855079102430694</v>
      </c>
      <c r="D4">
        <v>5.2871699999999997</v>
      </c>
      <c r="E4">
        <v>2.7105700000000001</v>
      </c>
      <c r="F4">
        <v>1.35805</v>
      </c>
      <c r="H4" s="1">
        <f t="shared" si="2"/>
        <v>0.38470690666890212</v>
      </c>
      <c r="I4">
        <f t="shared" si="8"/>
        <v>0.12823563555630071</v>
      </c>
      <c r="J4">
        <v>23.6996</v>
      </c>
      <c r="K4">
        <v>18.201499999999999</v>
      </c>
      <c r="L4">
        <v>13.040699999999999</v>
      </c>
      <c r="M4" s="2">
        <v>1024</v>
      </c>
      <c r="N4" s="1">
        <f t="shared" si="3"/>
        <v>6.6944654413324853</v>
      </c>
      <c r="P4">
        <v>1.3381700000000001</v>
      </c>
      <c r="Q4">
        <v>0.74514899999999995</v>
      </c>
      <c r="R4">
        <v>0.46776099999999998</v>
      </c>
      <c r="S4" s="2">
        <v>3</v>
      </c>
      <c r="T4" s="1">
        <f t="shared" si="4"/>
        <v>10.636611690836016</v>
      </c>
      <c r="V4">
        <v>0.81570500000000001</v>
      </c>
      <c r="W4">
        <v>0.42348599999999997</v>
      </c>
      <c r="X4">
        <v>0.24854799999999999</v>
      </c>
      <c r="Z4" s="1">
        <f t="shared" ref="Z4:Z17" si="9">$A$23/Z25</f>
        <v>34.623647985953461</v>
      </c>
      <c r="AA4" t="e">
        <f t="shared" si="5"/>
        <v>#DIV/0!</v>
      </c>
      <c r="AB4">
        <v>0.26370500000000002</v>
      </c>
      <c r="AC4">
        <v>0.161719</v>
      </c>
      <c r="AD4">
        <v>0.100129</v>
      </c>
      <c r="AF4" s="1">
        <f t="shared" si="6"/>
        <v>64.431741311312209</v>
      </c>
      <c r="AG4" t="e">
        <f t="shared" si="7"/>
        <v>#DIV/0!</v>
      </c>
      <c r="AH4">
        <v>0.137965</v>
      </c>
      <c r="AI4">
        <v>8.7709599999999999E-2</v>
      </c>
      <c r="AJ4">
        <v>5.8695900000000002E-2</v>
      </c>
    </row>
    <row r="5" spans="1:36">
      <c r="A5">
        <v>4</v>
      </c>
      <c r="B5" s="1">
        <f t="shared" si="0"/>
        <v>1.7770746097373373</v>
      </c>
      <c r="C5">
        <f t="shared" si="1"/>
        <v>0.44426865243433433</v>
      </c>
      <c r="D5">
        <v>5.0702199999999999</v>
      </c>
      <c r="E5">
        <v>2.5259299999999998</v>
      </c>
      <c r="F5">
        <v>1.2666999999999999</v>
      </c>
      <c r="H5" s="1">
        <f t="shared" si="2"/>
        <v>0.42175744714625274</v>
      </c>
      <c r="I5">
        <f t="shared" si="8"/>
        <v>0.10543936178656318</v>
      </c>
      <c r="J5">
        <v>23.0152</v>
      </c>
      <c r="K5">
        <v>15.8048</v>
      </c>
      <c r="L5">
        <v>13.252599999999999</v>
      </c>
      <c r="N5" s="1" t="e">
        <f t="shared" si="3"/>
        <v>#DIV/0!</v>
      </c>
      <c r="S5" s="2">
        <v>4</v>
      </c>
      <c r="T5" s="1">
        <f t="shared" si="4"/>
        <v>12.270184508661529</v>
      </c>
      <c r="V5">
        <v>0.67291900000000004</v>
      </c>
      <c r="W5">
        <v>0.405615</v>
      </c>
      <c r="X5">
        <v>0.30444100000000002</v>
      </c>
      <c r="Z5" s="1">
        <f t="shared" si="9"/>
        <v>33.380032797074712</v>
      </c>
      <c r="AA5" t="e">
        <f t="shared" si="5"/>
        <v>#DIV/0!</v>
      </c>
      <c r="AB5">
        <v>0.29738999999999999</v>
      </c>
      <c r="AC5">
        <v>0.18013499999999999</v>
      </c>
      <c r="AD5">
        <v>0.122644</v>
      </c>
      <c r="AF5" s="1">
        <f t="shared" si="6"/>
        <v>56.536389649514788</v>
      </c>
      <c r="AG5" t="e">
        <f t="shared" si="7"/>
        <v>#DIV/0!</v>
      </c>
      <c r="AH5">
        <v>0.155499</v>
      </c>
      <c r="AI5">
        <v>8.6534299999999995E-2</v>
      </c>
      <c r="AJ5">
        <v>6.8262299999999998E-2</v>
      </c>
    </row>
    <row r="6" spans="1:36">
      <c r="A6">
        <v>5</v>
      </c>
      <c r="B6" s="1">
        <f t="shared" si="0"/>
        <v>1.6851390078095401</v>
      </c>
      <c r="C6">
        <f t="shared" si="1"/>
        <v>0.33702780156190804</v>
      </c>
      <c r="D6">
        <v>5.2778900000000002</v>
      </c>
      <c r="E6">
        <v>2.6559200000000001</v>
      </c>
      <c r="F6">
        <v>1.3315399999999999</v>
      </c>
      <c r="H6" s="1">
        <f t="shared" si="2"/>
        <v>0.34050078579763521</v>
      </c>
      <c r="I6">
        <f t="shared" si="8"/>
        <v>6.8100157159527039E-2</v>
      </c>
      <c r="J6">
        <v>26.454000000000001</v>
      </c>
      <c r="K6">
        <v>19.808800000000002</v>
      </c>
      <c r="L6">
        <v>16.517199999999999</v>
      </c>
      <c r="N6" s="1" t="e">
        <f t="shared" si="3"/>
        <v>#DIV/0!</v>
      </c>
      <c r="T6" s="1" t="e">
        <f t="shared" si="4"/>
        <v>#DIV/0!</v>
      </c>
      <c r="Z6" s="1" t="e">
        <f t="shared" si="9"/>
        <v>#DIV/0!</v>
      </c>
      <c r="AA6" t="e">
        <f t="shared" si="5"/>
        <v>#DIV/0!</v>
      </c>
      <c r="AF6" s="1" t="e">
        <f t="shared" si="6"/>
        <v>#DIV/0!</v>
      </c>
      <c r="AG6" t="e">
        <f t="shared" si="7"/>
        <v>#DIV/0!</v>
      </c>
    </row>
    <row r="7" spans="1:36">
      <c r="A7">
        <v>6</v>
      </c>
      <c r="B7" s="1">
        <f t="shared" si="0"/>
        <v>1.7092223254900567</v>
      </c>
      <c r="C7">
        <f t="shared" si="1"/>
        <v>0.2848703875816761</v>
      </c>
      <c r="D7">
        <v>5.0957400000000002</v>
      </c>
      <c r="E7">
        <v>2.6245400000000001</v>
      </c>
      <c r="F7">
        <v>1.2682</v>
      </c>
      <c r="H7" s="1">
        <f t="shared" si="2"/>
        <v>0.35702048133977388</v>
      </c>
      <c r="I7">
        <f t="shared" si="8"/>
        <v>5.9503413556628977E-2</v>
      </c>
      <c r="J7">
        <v>26.478899999999999</v>
      </c>
      <c r="K7">
        <v>19.819400000000002</v>
      </c>
      <c r="L7">
        <v>16.8126</v>
      </c>
      <c r="N7" s="1" t="e">
        <f t="shared" si="3"/>
        <v>#DIV/0!</v>
      </c>
      <c r="T7" s="1" t="e">
        <f t="shared" si="4"/>
        <v>#DIV/0!</v>
      </c>
      <c r="Z7" s="1" t="e">
        <f t="shared" si="9"/>
        <v>#DIV/0!</v>
      </c>
      <c r="AA7" t="e">
        <f t="shared" si="5"/>
        <v>#DIV/0!</v>
      </c>
      <c r="AF7" s="1" t="e">
        <f t="shared" si="6"/>
        <v>#DIV/0!</v>
      </c>
      <c r="AG7" t="e">
        <f t="shared" si="7"/>
        <v>#DIV/0!</v>
      </c>
    </row>
    <row r="8" spans="1:36">
      <c r="A8">
        <v>7</v>
      </c>
      <c r="B8" s="1">
        <f t="shared" si="0"/>
        <v>1.6724935353645789</v>
      </c>
      <c r="C8">
        <f t="shared" si="1"/>
        <v>0.23892764790922555</v>
      </c>
      <c r="D8">
        <v>5.2456399999999999</v>
      </c>
      <c r="E8">
        <v>2.62608</v>
      </c>
      <c r="F8">
        <v>1.3194699999999999</v>
      </c>
      <c r="H8" s="1">
        <f t="shared" si="2"/>
        <v>0.29726461175182028</v>
      </c>
      <c r="I8">
        <f t="shared" si="8"/>
        <v>4.2466373107402901E-2</v>
      </c>
      <c r="J8">
        <v>37.205800000000004</v>
      </c>
      <c r="K8">
        <v>28.873000000000001</v>
      </c>
      <c r="L8">
        <v>27.639700000000001</v>
      </c>
      <c r="N8" s="1" t="e">
        <f t="shared" si="3"/>
        <v>#DIV/0!</v>
      </c>
      <c r="T8" s="1" t="e">
        <f t="shared" si="4"/>
        <v>#DIV/0!</v>
      </c>
      <c r="Z8" s="1" t="e">
        <f t="shared" si="9"/>
        <v>#DIV/0!</v>
      </c>
      <c r="AA8" t="e">
        <f t="shared" si="5"/>
        <v>#DIV/0!</v>
      </c>
      <c r="AF8" s="1" t="e">
        <f t="shared" si="6"/>
        <v>#DIV/0!</v>
      </c>
      <c r="AG8" t="e">
        <f t="shared" si="7"/>
        <v>#DIV/0!</v>
      </c>
    </row>
    <row r="9" spans="1:36">
      <c r="A9">
        <v>8</v>
      </c>
      <c r="B9" s="1">
        <f t="shared" si="0"/>
        <v>1.7133730776932659</v>
      </c>
      <c r="C9">
        <f t="shared" si="1"/>
        <v>0.21417163471165823</v>
      </c>
      <c r="D9">
        <v>5.1335699999999997</v>
      </c>
      <c r="E9">
        <v>2.5902099999999999</v>
      </c>
      <c r="F9">
        <v>1.2821</v>
      </c>
      <c r="H9" s="1">
        <f t="shared" si="2"/>
        <v>0.27083942496760816</v>
      </c>
      <c r="I9">
        <f t="shared" si="8"/>
        <v>3.3854928120951019E-2</v>
      </c>
      <c r="J9">
        <v>34.423000000000002</v>
      </c>
      <c r="K9">
        <v>29.2165</v>
      </c>
      <c r="L9">
        <v>26.699200000000001</v>
      </c>
      <c r="N9" s="1" t="e">
        <f t="shared" si="3"/>
        <v>#DIV/0!</v>
      </c>
      <c r="T9" s="1" t="e">
        <f t="shared" si="4"/>
        <v>#DIV/0!</v>
      </c>
      <c r="Z9" s="1" t="e">
        <f t="shared" si="9"/>
        <v>#DIV/0!</v>
      </c>
      <c r="AA9" t="e">
        <f t="shared" si="5"/>
        <v>#DIV/0!</v>
      </c>
      <c r="AF9" s="1" t="e">
        <f t="shared" si="6"/>
        <v>#DIV/0!</v>
      </c>
      <c r="AG9" t="e">
        <f t="shared" si="7"/>
        <v>#DIV/0!</v>
      </c>
    </row>
    <row r="10" spans="1:36">
      <c r="A10">
        <v>9</v>
      </c>
      <c r="B10" s="1" t="e">
        <f t="shared" si="0"/>
        <v>#DIV/0!</v>
      </c>
      <c r="C10" t="e">
        <f t="shared" si="1"/>
        <v>#DIV/0!</v>
      </c>
      <c r="H10" s="1" t="e">
        <f>$A$23/#REF!</f>
        <v>#REF!</v>
      </c>
      <c r="I10" t="e">
        <f>H10/A10</f>
        <v>#REF!</v>
      </c>
      <c r="N10" s="1" t="e">
        <f t="shared" si="3"/>
        <v>#DIV/0!</v>
      </c>
      <c r="T10" s="1" t="e">
        <f t="shared" si="4"/>
        <v>#DIV/0!</v>
      </c>
      <c r="Z10" s="1" t="e">
        <f t="shared" si="9"/>
        <v>#DIV/0!</v>
      </c>
      <c r="AA10" t="e">
        <f t="shared" si="5"/>
        <v>#DIV/0!</v>
      </c>
      <c r="AF10" s="1" t="e">
        <f t="shared" si="6"/>
        <v>#DIV/0!</v>
      </c>
      <c r="AG10" t="e">
        <f t="shared" si="7"/>
        <v>#DIV/0!</v>
      </c>
    </row>
    <row r="11" spans="1:36">
      <c r="A11">
        <v>10</v>
      </c>
      <c r="B11" s="1" t="e">
        <f t="shared" si="0"/>
        <v>#DIV/0!</v>
      </c>
      <c r="C11" t="e">
        <f t="shared" si="1"/>
        <v>#DIV/0!</v>
      </c>
      <c r="H11" s="1" t="e">
        <f>$A$23/H31</f>
        <v>#DIV/0!</v>
      </c>
      <c r="I11" t="e">
        <f t="shared" si="8"/>
        <v>#DIV/0!</v>
      </c>
      <c r="N11" s="1" t="e">
        <f t="shared" si="3"/>
        <v>#DIV/0!</v>
      </c>
      <c r="T11" s="1" t="e">
        <f t="shared" si="4"/>
        <v>#DIV/0!</v>
      </c>
      <c r="Z11" s="1" t="e">
        <f t="shared" si="9"/>
        <v>#DIV/0!</v>
      </c>
      <c r="AA11" t="e">
        <f t="shared" si="5"/>
        <v>#DIV/0!</v>
      </c>
      <c r="AF11" s="1" t="e">
        <f t="shared" si="6"/>
        <v>#DIV/0!</v>
      </c>
      <c r="AG11" t="e">
        <f t="shared" si="7"/>
        <v>#DIV/0!</v>
      </c>
    </row>
    <row r="12" spans="1:36">
      <c r="A12">
        <v>11</v>
      </c>
      <c r="B12" s="1" t="e">
        <f t="shared" si="0"/>
        <v>#DIV/0!</v>
      </c>
      <c r="C12" t="e">
        <f t="shared" si="1"/>
        <v>#DIV/0!</v>
      </c>
      <c r="H12" s="1" t="e">
        <f t="shared" si="2"/>
        <v>#DIV/0!</v>
      </c>
      <c r="I12" t="e">
        <f t="shared" si="8"/>
        <v>#DIV/0!</v>
      </c>
      <c r="N12" s="1" t="e">
        <f t="shared" si="3"/>
        <v>#DIV/0!</v>
      </c>
      <c r="T12" s="1" t="e">
        <f t="shared" si="4"/>
        <v>#DIV/0!</v>
      </c>
      <c r="Z12" s="1" t="e">
        <f t="shared" si="9"/>
        <v>#DIV/0!</v>
      </c>
      <c r="AA12" t="e">
        <f t="shared" si="5"/>
        <v>#DIV/0!</v>
      </c>
      <c r="AF12" s="1" t="e">
        <f t="shared" si="6"/>
        <v>#DIV/0!</v>
      </c>
      <c r="AG12" t="e">
        <f t="shared" si="7"/>
        <v>#DIV/0!</v>
      </c>
    </row>
    <row r="13" spans="1:36">
      <c r="A13">
        <v>12</v>
      </c>
      <c r="B13" s="1" t="e">
        <f t="shared" si="0"/>
        <v>#DIV/0!</v>
      </c>
      <c r="C13" t="e">
        <f t="shared" si="1"/>
        <v>#DIV/0!</v>
      </c>
      <c r="H13" s="1" t="e">
        <f t="shared" si="2"/>
        <v>#DIV/0!</v>
      </c>
      <c r="I13" t="e">
        <f t="shared" si="8"/>
        <v>#DIV/0!</v>
      </c>
      <c r="N13" s="1" t="e">
        <f t="shared" si="3"/>
        <v>#DIV/0!</v>
      </c>
      <c r="T13" s="1" t="e">
        <f t="shared" si="4"/>
        <v>#DIV/0!</v>
      </c>
      <c r="Z13" s="1" t="e">
        <f t="shared" si="9"/>
        <v>#DIV/0!</v>
      </c>
      <c r="AA13" t="e">
        <f t="shared" si="5"/>
        <v>#DIV/0!</v>
      </c>
      <c r="AF13" s="1" t="e">
        <f t="shared" si="6"/>
        <v>#DIV/0!</v>
      </c>
      <c r="AG13" t="e">
        <f t="shared" si="7"/>
        <v>#DIV/0!</v>
      </c>
    </row>
    <row r="14" spans="1:36">
      <c r="A14">
        <v>13</v>
      </c>
      <c r="B14" s="1" t="e">
        <f t="shared" si="0"/>
        <v>#DIV/0!</v>
      </c>
      <c r="C14" t="e">
        <f t="shared" si="1"/>
        <v>#DIV/0!</v>
      </c>
      <c r="H14" s="1" t="e">
        <f t="shared" si="2"/>
        <v>#DIV/0!</v>
      </c>
      <c r="I14" t="e">
        <f t="shared" si="8"/>
        <v>#DIV/0!</v>
      </c>
      <c r="N14" s="1" t="e">
        <f t="shared" si="3"/>
        <v>#DIV/0!</v>
      </c>
      <c r="T14" s="1" t="e">
        <f t="shared" si="4"/>
        <v>#DIV/0!</v>
      </c>
      <c r="Z14" s="1" t="e">
        <f t="shared" si="9"/>
        <v>#DIV/0!</v>
      </c>
      <c r="AA14" t="e">
        <f t="shared" si="5"/>
        <v>#DIV/0!</v>
      </c>
      <c r="AF14" s="1" t="e">
        <f t="shared" si="6"/>
        <v>#DIV/0!</v>
      </c>
      <c r="AG14" t="e">
        <f t="shared" si="7"/>
        <v>#DIV/0!</v>
      </c>
    </row>
    <row r="15" spans="1:36">
      <c r="A15">
        <v>14</v>
      </c>
      <c r="B15" s="1" t="e">
        <f t="shared" si="0"/>
        <v>#DIV/0!</v>
      </c>
      <c r="C15" t="e">
        <f t="shared" si="1"/>
        <v>#DIV/0!</v>
      </c>
      <c r="H15" s="1" t="e">
        <f t="shared" si="2"/>
        <v>#DIV/0!</v>
      </c>
      <c r="I15" t="e">
        <f t="shared" si="8"/>
        <v>#DIV/0!</v>
      </c>
      <c r="N15" s="1" t="e">
        <f t="shared" si="3"/>
        <v>#DIV/0!</v>
      </c>
      <c r="T15" s="1" t="e">
        <f t="shared" si="4"/>
        <v>#DIV/0!</v>
      </c>
      <c r="Z15" s="1" t="e">
        <f t="shared" si="9"/>
        <v>#DIV/0!</v>
      </c>
      <c r="AA15" t="e">
        <f t="shared" si="5"/>
        <v>#DIV/0!</v>
      </c>
      <c r="AF15" s="1" t="e">
        <f t="shared" si="6"/>
        <v>#DIV/0!</v>
      </c>
      <c r="AG15" t="e">
        <f t="shared" si="7"/>
        <v>#DIV/0!</v>
      </c>
    </row>
    <row r="16" spans="1:36">
      <c r="A16">
        <v>15</v>
      </c>
      <c r="B16" s="1" t="e">
        <f t="shared" si="0"/>
        <v>#DIV/0!</v>
      </c>
      <c r="C16" t="e">
        <f t="shared" si="1"/>
        <v>#DIV/0!</v>
      </c>
      <c r="H16" s="1" t="e">
        <f t="shared" si="2"/>
        <v>#DIV/0!</v>
      </c>
      <c r="I16" t="e">
        <f t="shared" si="8"/>
        <v>#DIV/0!</v>
      </c>
      <c r="N16" s="1" t="e">
        <f t="shared" si="3"/>
        <v>#DIV/0!</v>
      </c>
      <c r="T16" s="1" t="e">
        <f t="shared" si="4"/>
        <v>#DIV/0!</v>
      </c>
      <c r="Z16" s="1" t="e">
        <f t="shared" si="9"/>
        <v>#DIV/0!</v>
      </c>
      <c r="AA16" t="e">
        <f t="shared" si="5"/>
        <v>#DIV/0!</v>
      </c>
      <c r="AF16" s="1" t="e">
        <f t="shared" si="6"/>
        <v>#DIV/0!</v>
      </c>
      <c r="AG16" t="e">
        <f t="shared" si="7"/>
        <v>#DIV/0!</v>
      </c>
    </row>
    <row r="17" spans="1:33">
      <c r="A17">
        <v>16</v>
      </c>
      <c r="B17" s="1" t="e">
        <f t="shared" si="0"/>
        <v>#DIV/0!</v>
      </c>
      <c r="C17" t="e">
        <f t="shared" si="1"/>
        <v>#DIV/0!</v>
      </c>
      <c r="H17" s="1" t="e">
        <f t="shared" si="2"/>
        <v>#DIV/0!</v>
      </c>
      <c r="I17" t="e">
        <f t="shared" si="8"/>
        <v>#DIV/0!</v>
      </c>
      <c r="N17" s="1" t="e">
        <f t="shared" si="3"/>
        <v>#DIV/0!</v>
      </c>
      <c r="T17" s="1" t="e">
        <f t="shared" si="4"/>
        <v>#DIV/0!</v>
      </c>
      <c r="Z17" s="1" t="e">
        <f t="shared" si="9"/>
        <v>#DIV/0!</v>
      </c>
      <c r="AA17" t="e">
        <f t="shared" si="5"/>
        <v>#DIV/0!</v>
      </c>
      <c r="AF17" s="1" t="e">
        <f t="shared" si="6"/>
        <v>#DIV/0!</v>
      </c>
      <c r="AG17" t="e">
        <f t="shared" si="7"/>
        <v>#DIV/0!</v>
      </c>
    </row>
    <row r="22" spans="1:33">
      <c r="A22" t="s">
        <v>1</v>
      </c>
      <c r="B22" t="s">
        <v>4</v>
      </c>
      <c r="C22" t="s">
        <v>1</v>
      </c>
      <c r="D22" t="s">
        <v>6</v>
      </c>
      <c r="E22" t="s">
        <v>7</v>
      </c>
      <c r="F22" t="s">
        <v>8</v>
      </c>
      <c r="H22" t="s">
        <v>5</v>
      </c>
      <c r="N22" t="s">
        <v>15</v>
      </c>
      <c r="T22" t="s">
        <v>16</v>
      </c>
      <c r="Z22" t="s">
        <v>18</v>
      </c>
      <c r="AF22" t="s">
        <v>18</v>
      </c>
    </row>
    <row r="23" spans="1:33">
      <c r="A23">
        <f>SUM(C23:C30)/COUNT(C23:C30)</f>
        <v>10.096325</v>
      </c>
      <c r="B23">
        <v>7.26044</v>
      </c>
      <c r="C23">
        <v>10.0618</v>
      </c>
      <c r="D23">
        <v>8.8010900000000003</v>
      </c>
      <c r="E23" s="2">
        <v>4.3698699999999997</v>
      </c>
      <c r="F23">
        <v>2.1400999999999999</v>
      </c>
      <c r="H23">
        <v>20.235299999999999</v>
      </c>
      <c r="N23">
        <v>0.42019600000000001</v>
      </c>
      <c r="T23">
        <v>1.31515</v>
      </c>
      <c r="Z23">
        <v>0.41432099999999999</v>
      </c>
      <c r="AF23">
        <v>0.196795</v>
      </c>
    </row>
    <row r="24" spans="1:33">
      <c r="B24">
        <v>5.6730099999999997</v>
      </c>
      <c r="C24">
        <v>10.058299999999999</v>
      </c>
      <c r="D24">
        <v>8.7691400000000002</v>
      </c>
      <c r="E24" s="2">
        <v>4.3714500000000003</v>
      </c>
      <c r="F24">
        <v>2.13916</v>
      </c>
      <c r="H24">
        <v>15.1676</v>
      </c>
      <c r="N24">
        <v>0.59834399999999999</v>
      </c>
      <c r="T24">
        <v>0.72472899999999996</v>
      </c>
      <c r="Z24">
        <v>0.218613</v>
      </c>
      <c r="AF24">
        <v>0.112318</v>
      </c>
    </row>
    <row r="25" spans="1:33">
      <c r="B25">
        <v>6.0253100000000002</v>
      </c>
      <c r="C25">
        <v>10.0975</v>
      </c>
      <c r="D25">
        <v>8.7808399999999995</v>
      </c>
      <c r="E25" s="2">
        <v>4.3675300000000004</v>
      </c>
      <c r="F25">
        <v>2.1516899999999999</v>
      </c>
      <c r="H25">
        <v>26.244199999999999</v>
      </c>
      <c r="N25">
        <v>1.5081599999999999</v>
      </c>
      <c r="T25">
        <v>0.94920499999999997</v>
      </c>
      <c r="Z25">
        <v>0.29160199999999997</v>
      </c>
      <c r="AF25">
        <v>0.156698</v>
      </c>
    </row>
    <row r="26" spans="1:33">
      <c r="B26">
        <v>5.6814299999999998</v>
      </c>
      <c r="C26">
        <v>10.0867</v>
      </c>
      <c r="D26">
        <v>8.7640600000000006</v>
      </c>
      <c r="E26" s="2">
        <v>4.3700200000000002</v>
      </c>
      <c r="F26">
        <v>2.1391499999999999</v>
      </c>
      <c r="H26">
        <v>23.938700000000001</v>
      </c>
      <c r="T26">
        <v>0.82283399999999995</v>
      </c>
      <c r="Z26">
        <v>0.30246600000000001</v>
      </c>
      <c r="AF26">
        <v>0.17858099999999999</v>
      </c>
    </row>
    <row r="27" spans="1:33">
      <c r="B27">
        <v>5.99139</v>
      </c>
      <c r="C27">
        <v>10.064500000000001</v>
      </c>
      <c r="D27">
        <v>8.7616200000000006</v>
      </c>
      <c r="E27" s="2">
        <v>4.36944</v>
      </c>
      <c r="F27">
        <v>2.1382599999999998</v>
      </c>
      <c r="H27">
        <v>29.651399999999999</v>
      </c>
    </row>
    <row r="28" spans="1:33">
      <c r="B28">
        <v>5.9069700000000003</v>
      </c>
      <c r="C28">
        <v>10.154999999999999</v>
      </c>
      <c r="D28">
        <v>8.7829200000000007</v>
      </c>
      <c r="E28" s="2">
        <v>4.36212</v>
      </c>
      <c r="F28">
        <v>2.1403400000000001</v>
      </c>
      <c r="H28">
        <v>28.279399999999999</v>
      </c>
    </row>
    <row r="29" spans="1:33">
      <c r="B29">
        <v>6.0366900000000001</v>
      </c>
      <c r="C29">
        <v>10.1198</v>
      </c>
      <c r="D29">
        <v>8.7691700000000008</v>
      </c>
      <c r="E29" s="2">
        <v>4.36754</v>
      </c>
      <c r="F29">
        <v>2.14425</v>
      </c>
      <c r="H29">
        <v>33.964100000000002</v>
      </c>
    </row>
    <row r="30" spans="1:33">
      <c r="B30">
        <v>5.8926600000000002</v>
      </c>
      <c r="C30">
        <v>10.127000000000001</v>
      </c>
      <c r="D30">
        <v>8.7722200000000008</v>
      </c>
      <c r="E30" s="2">
        <v>4.3708400000000003</v>
      </c>
      <c r="F30">
        <v>2.1414200000000001</v>
      </c>
      <c r="H30">
        <v>37.277900000000002</v>
      </c>
    </row>
  </sheetData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54570-8EDB-4451-A28D-3F68D4E1E2A6}">
  <dimension ref="A1:AJ30"/>
  <sheetViews>
    <sheetView tabSelected="1" topLeftCell="A7" zoomScale="85" zoomScaleNormal="85" workbookViewId="0">
      <selection activeCell="C22" sqref="C22:C30"/>
    </sheetView>
  </sheetViews>
  <sheetFormatPr defaultRowHeight="14.4"/>
  <cols>
    <col min="2" max="2" width="14.88671875" bestFit="1" customWidth="1"/>
    <col min="3" max="3" width="15.33203125" bestFit="1" customWidth="1"/>
    <col min="8" max="8" width="21" bestFit="1" customWidth="1"/>
    <col min="9" max="9" width="21.5546875" bestFit="1" customWidth="1"/>
    <col min="14" max="14" width="16.5546875" bestFit="1" customWidth="1"/>
    <col min="15" max="15" width="17" bestFit="1" customWidth="1"/>
    <col min="19" max="19" width="11.33203125" bestFit="1" customWidth="1"/>
    <col min="20" max="20" width="20.6640625" bestFit="1" customWidth="1"/>
    <col min="21" max="21" width="22.33203125" bestFit="1" customWidth="1"/>
    <col min="25" max="25" width="12.21875" bestFit="1" customWidth="1"/>
    <col min="26" max="26" width="21.33203125" bestFit="1" customWidth="1"/>
    <col min="27" max="27" width="22.33203125" bestFit="1" customWidth="1"/>
    <col min="31" max="31" width="12.21875" bestFit="1" customWidth="1"/>
  </cols>
  <sheetData>
    <row r="1" spans="1:36">
      <c r="A1" t="s">
        <v>0</v>
      </c>
      <c r="B1" t="s">
        <v>3</v>
      </c>
      <c r="C1" t="s">
        <v>2</v>
      </c>
      <c r="D1" t="s">
        <v>6</v>
      </c>
      <c r="E1" t="s">
        <v>7</v>
      </c>
      <c r="F1" t="s">
        <v>8</v>
      </c>
      <c r="H1" t="s">
        <v>31</v>
      </c>
      <c r="I1" t="s">
        <v>11</v>
      </c>
      <c r="J1" t="s">
        <v>6</v>
      </c>
      <c r="K1" t="s">
        <v>7</v>
      </c>
      <c r="L1" t="s">
        <v>8</v>
      </c>
      <c r="N1" t="s">
        <v>9</v>
      </c>
      <c r="O1" t="s">
        <v>12</v>
      </c>
      <c r="P1" t="s">
        <v>6</v>
      </c>
      <c r="Q1" t="s">
        <v>7</v>
      </c>
      <c r="R1" t="s">
        <v>8</v>
      </c>
      <c r="S1" t="s">
        <v>17</v>
      </c>
      <c r="T1" t="s">
        <v>13</v>
      </c>
      <c r="U1" t="s">
        <v>14</v>
      </c>
      <c r="V1" t="s">
        <v>6</v>
      </c>
      <c r="W1" t="s">
        <v>7</v>
      </c>
      <c r="X1" t="s">
        <v>8</v>
      </c>
      <c r="Y1" t="s">
        <v>19</v>
      </c>
      <c r="Z1" t="s">
        <v>13</v>
      </c>
      <c r="AA1" t="s">
        <v>14</v>
      </c>
      <c r="AB1" t="s">
        <v>6</v>
      </c>
      <c r="AC1" t="s">
        <v>7</v>
      </c>
      <c r="AD1" t="s">
        <v>8</v>
      </c>
      <c r="AE1" t="s">
        <v>20</v>
      </c>
      <c r="AF1" t="s">
        <v>13</v>
      </c>
      <c r="AG1" t="s">
        <v>14</v>
      </c>
      <c r="AH1" t="s">
        <v>6</v>
      </c>
      <c r="AI1" t="s">
        <v>7</v>
      </c>
      <c r="AJ1" t="s">
        <v>8</v>
      </c>
    </row>
    <row r="2" spans="1:36">
      <c r="A2">
        <v>1</v>
      </c>
      <c r="B2" s="1">
        <f t="shared" ref="B2:B17" si="0">$A$23/B23</f>
        <v>1.2008227676008822</v>
      </c>
      <c r="C2">
        <f t="shared" ref="C2:C17" si="1">B2/A2</f>
        <v>1.2008227676008822</v>
      </c>
      <c r="D2" s="2">
        <v>2.5230199999999998</v>
      </c>
      <c r="E2" s="2">
        <v>1.2835700000000001</v>
      </c>
      <c r="F2" s="2">
        <v>0.61633700000000002</v>
      </c>
      <c r="H2" s="1">
        <f t="shared" ref="H2:H17" si="2">$A$23/H23</f>
        <v>0.4549508702940151</v>
      </c>
      <c r="I2">
        <f>H2/A2</f>
        <v>0.4549508702940151</v>
      </c>
      <c r="J2" s="2">
        <v>6.7306299999999997</v>
      </c>
      <c r="K2" s="2">
        <v>3.3751099999999998</v>
      </c>
      <c r="L2" s="2">
        <v>1.71933</v>
      </c>
      <c r="M2" s="2">
        <v>64</v>
      </c>
      <c r="N2" s="1">
        <f t="shared" ref="N2:N17" si="3">$A$23/N23</f>
        <v>13.260584290655132</v>
      </c>
      <c r="P2" s="2">
        <v>0.23535700000000001</v>
      </c>
      <c r="Q2" s="2">
        <v>0.18060200000000001</v>
      </c>
      <c r="R2" s="2">
        <v>0.17121900000000001</v>
      </c>
      <c r="S2" s="2">
        <v>1</v>
      </c>
      <c r="T2" s="1">
        <f t="shared" ref="T2:T17" si="4">$A$23/T23</f>
        <v>15.599840391433467</v>
      </c>
      <c r="V2" s="1">
        <v>0.176256</v>
      </c>
      <c r="W2">
        <v>8.5288600000000006E-2</v>
      </c>
      <c r="X2" s="2">
        <v>4.7338400000000003E-2</v>
      </c>
      <c r="Z2" s="1">
        <f>$A$23/Z23</f>
        <v>56.473633276552611</v>
      </c>
      <c r="AA2" t="e">
        <f t="shared" ref="AA2:AA17" si="5">Z2/Y2</f>
        <v>#DIV/0!</v>
      </c>
      <c r="AB2" s="1">
        <v>5.5214899999999997E-2</v>
      </c>
      <c r="AC2">
        <v>3.07972E-2</v>
      </c>
      <c r="AD2">
        <v>1.7845E-2</v>
      </c>
      <c r="AF2" s="1">
        <f t="shared" ref="AF2:AF17" si="6">$A$23/AF23</f>
        <v>78.543637732932538</v>
      </c>
      <c r="AG2" t="e">
        <f t="shared" ref="AG2:AG17" si="7">AF2/AE2</f>
        <v>#DIV/0!</v>
      </c>
      <c r="AH2" s="1">
        <v>4.8982600000000001E-2</v>
      </c>
      <c r="AI2">
        <v>2.73557E-2</v>
      </c>
      <c r="AJ2">
        <v>1.33591E-2</v>
      </c>
    </row>
    <row r="3" spans="1:36">
      <c r="A3">
        <v>2</v>
      </c>
      <c r="B3" s="1">
        <f t="shared" si="0"/>
        <v>1.6461118294809789</v>
      </c>
      <c r="C3">
        <f t="shared" si="1"/>
        <v>0.82305591474048945</v>
      </c>
      <c r="D3" s="2">
        <v>1.88784</v>
      </c>
      <c r="E3" s="2">
        <v>0.97621999999999998</v>
      </c>
      <c r="F3" s="2">
        <v>0.471941</v>
      </c>
      <c r="H3" s="1">
        <f t="shared" si="2"/>
        <v>0.61793635137166025</v>
      </c>
      <c r="I3">
        <f t="shared" ref="I3:I17" si="8">H3/A3</f>
        <v>0.30896817568583013</v>
      </c>
      <c r="J3" s="2">
        <v>4.9947400000000002</v>
      </c>
      <c r="K3" s="2">
        <v>2.5248400000000002</v>
      </c>
      <c r="L3" s="2">
        <v>1.25318</v>
      </c>
      <c r="M3" s="2">
        <v>256</v>
      </c>
      <c r="N3" s="1">
        <f t="shared" si="3"/>
        <v>11.741123299001556</v>
      </c>
      <c r="P3" s="2">
        <v>0.25405499999999998</v>
      </c>
      <c r="Q3" s="2">
        <v>0.19875899999999999</v>
      </c>
      <c r="R3" s="2">
        <v>0.16070599999999999</v>
      </c>
      <c r="S3" s="2">
        <v>2</v>
      </c>
      <c r="T3" s="1">
        <f t="shared" si="4"/>
        <v>30.7569256960088</v>
      </c>
      <c r="V3" s="1">
        <v>9.2880599999999994E-2</v>
      </c>
      <c r="W3">
        <v>4.96097E-2</v>
      </c>
      <c r="X3" s="2">
        <v>3.0849399999999999E-2</v>
      </c>
      <c r="Z3" s="1">
        <f>$A$23/Z24</f>
        <v>70.189639948984592</v>
      </c>
      <c r="AA3" t="e">
        <f t="shared" si="5"/>
        <v>#DIV/0!</v>
      </c>
      <c r="AB3" s="1">
        <v>3.1948999999999998E-2</v>
      </c>
      <c r="AC3">
        <v>2.7116899999999999E-2</v>
      </c>
      <c r="AD3">
        <v>1.62472E-2</v>
      </c>
      <c r="AF3" s="1">
        <f t="shared" si="6"/>
        <v>151.75116341222335</v>
      </c>
      <c r="AG3" t="e">
        <f t="shared" si="7"/>
        <v>#DIV/0!</v>
      </c>
      <c r="AH3" s="1">
        <v>2.5749999999999999E-2</v>
      </c>
      <c r="AI3">
        <v>1.87726E-2</v>
      </c>
      <c r="AJ3">
        <v>1.11302E-2</v>
      </c>
    </row>
    <row r="4" spans="1:36">
      <c r="A4">
        <v>3</v>
      </c>
      <c r="B4" s="1">
        <f t="shared" si="0"/>
        <v>1.5500138656590956</v>
      </c>
      <c r="C4">
        <f t="shared" si="1"/>
        <v>0.5166712885530319</v>
      </c>
      <c r="D4" s="2">
        <v>2.0032899999999998</v>
      </c>
      <c r="E4" s="2">
        <v>1.03288</v>
      </c>
      <c r="F4" s="2">
        <v>0.53534400000000004</v>
      </c>
      <c r="H4" s="1">
        <f t="shared" si="2"/>
        <v>0.39080553322029749</v>
      </c>
      <c r="I4">
        <f t="shared" si="8"/>
        <v>0.13026851107343249</v>
      </c>
      <c r="J4" s="2">
        <v>8.4312400000000007</v>
      </c>
      <c r="K4" s="2">
        <v>5.2357699999999996</v>
      </c>
      <c r="L4" s="2">
        <v>3.92076</v>
      </c>
      <c r="M4" s="2">
        <v>1024</v>
      </c>
      <c r="N4" s="1">
        <f t="shared" si="3"/>
        <v>8.54901346920437</v>
      </c>
      <c r="P4" s="2">
        <v>0.34650900000000001</v>
      </c>
      <c r="Q4" s="2">
        <v>0.259519</v>
      </c>
      <c r="R4" s="2">
        <v>0.19123200000000001</v>
      </c>
      <c r="S4" s="2">
        <v>3</v>
      </c>
      <c r="T4" s="1">
        <f t="shared" si="4"/>
        <v>22.623275845713092</v>
      </c>
      <c r="V4" s="1">
        <v>0.15177399999999999</v>
      </c>
      <c r="W4">
        <v>0.11100599999999999</v>
      </c>
      <c r="X4">
        <v>5.0999000000000003E-2</v>
      </c>
      <c r="Z4" s="1">
        <f t="shared" ref="Z4:Z17" si="9">$A$23/Z25</f>
        <v>61.255779307510529</v>
      </c>
      <c r="AA4" t="e">
        <f t="shared" si="5"/>
        <v>#DIV/0!</v>
      </c>
      <c r="AB4" s="1">
        <v>5.1130700000000001E-2</v>
      </c>
      <c r="AC4">
        <v>3.5148100000000002E-2</v>
      </c>
      <c r="AD4">
        <v>2.1296200000000001E-2</v>
      </c>
      <c r="AF4" s="1">
        <f t="shared" si="6"/>
        <v>81.908324059954111</v>
      </c>
      <c r="AG4" t="e">
        <f t="shared" si="7"/>
        <v>#DIV/0!</v>
      </c>
      <c r="AH4" s="1">
        <v>4.5300100000000003E-2</v>
      </c>
      <c r="AI4">
        <v>2.0494700000000001E-2</v>
      </c>
      <c r="AJ4">
        <v>1.5248100000000001E-2</v>
      </c>
    </row>
    <row r="5" spans="1:36">
      <c r="A5">
        <v>4</v>
      </c>
      <c r="B5" s="1">
        <f t="shared" si="0"/>
        <v>1.5821174420507469</v>
      </c>
      <c r="C5">
        <f t="shared" si="1"/>
        <v>0.39552936051268672</v>
      </c>
      <c r="D5" s="2">
        <v>1.9757899999999999</v>
      </c>
      <c r="E5" s="2">
        <v>0.96287199999999995</v>
      </c>
      <c r="F5" s="2">
        <v>0.49740899999999999</v>
      </c>
      <c r="H5" s="1">
        <f t="shared" si="2"/>
        <v>0.44164729354507754</v>
      </c>
      <c r="I5">
        <f t="shared" si="8"/>
        <v>0.11041182338626938</v>
      </c>
      <c r="J5" s="2">
        <v>7.3023800000000003</v>
      </c>
      <c r="K5" s="2">
        <v>4.7363799999999996</v>
      </c>
      <c r="L5" s="2">
        <v>3.40333</v>
      </c>
      <c r="N5" s="1" t="e">
        <f t="shared" si="3"/>
        <v>#DIV/0!</v>
      </c>
      <c r="P5" s="1" t="e">
        <f t="shared" ref="P5:P17" si="10">$A$23/P26</f>
        <v>#DIV/0!</v>
      </c>
      <c r="Q5" t="e">
        <f t="shared" ref="Q5:R17" si="11">P5/O5</f>
        <v>#DIV/0!</v>
      </c>
      <c r="R5" t="e">
        <f t="shared" si="11"/>
        <v>#DIV/0!</v>
      </c>
      <c r="S5" s="2">
        <v>4</v>
      </c>
      <c r="T5" s="1">
        <f t="shared" si="4"/>
        <v>27.35815073993346</v>
      </c>
      <c r="V5" s="1">
        <v>0.127553</v>
      </c>
      <c r="W5">
        <v>7.6106199999999999E-2</v>
      </c>
      <c r="X5">
        <v>7.9318799999999995E-2</v>
      </c>
      <c r="Z5" s="1">
        <f t="shared" si="9"/>
        <v>63.690383988804555</v>
      </c>
      <c r="AA5" t="e">
        <f t="shared" si="5"/>
        <v>#DIV/0!</v>
      </c>
      <c r="AB5" s="1">
        <v>5.4113700000000001E-2</v>
      </c>
      <c r="AC5">
        <v>3.8919099999999998E-2</v>
      </c>
      <c r="AD5">
        <v>2.6827400000000001E-2</v>
      </c>
      <c r="AF5" s="1">
        <f t="shared" si="6"/>
        <v>80.029866774052806</v>
      </c>
      <c r="AG5" t="e">
        <f t="shared" si="7"/>
        <v>#DIV/0!</v>
      </c>
      <c r="AH5" s="1">
        <v>3.9871799999999999E-2</v>
      </c>
      <c r="AI5">
        <v>2.7166099999999999E-2</v>
      </c>
      <c r="AJ5">
        <v>2.0198600000000001E-2</v>
      </c>
    </row>
    <row r="6" spans="1:36">
      <c r="A6">
        <v>5</v>
      </c>
      <c r="B6" s="1">
        <f t="shared" si="0"/>
        <v>1.5586925547165371</v>
      </c>
      <c r="C6">
        <f t="shared" si="1"/>
        <v>0.3117385109433074</v>
      </c>
      <c r="D6" s="2">
        <v>2.0284900000000001</v>
      </c>
      <c r="E6" s="2">
        <v>1.0231699999999999</v>
      </c>
      <c r="F6" s="2">
        <v>0.50549699999999997</v>
      </c>
      <c r="H6" s="1">
        <f t="shared" si="2"/>
        <v>0.39173764682434514</v>
      </c>
      <c r="I6">
        <f t="shared" si="8"/>
        <v>7.8347529364869023E-2</v>
      </c>
      <c r="J6" s="2">
        <v>8.3431800000000003</v>
      </c>
      <c r="K6" s="2">
        <v>5.8216999999999999</v>
      </c>
      <c r="L6" s="2">
        <v>4.1890799999999997</v>
      </c>
      <c r="N6" s="1" t="e">
        <f t="shared" si="3"/>
        <v>#DIV/0!</v>
      </c>
      <c r="P6" s="1" t="e">
        <f t="shared" si="10"/>
        <v>#DIV/0!</v>
      </c>
      <c r="Q6" t="e">
        <f t="shared" si="11"/>
        <v>#DIV/0!</v>
      </c>
      <c r="R6" t="e">
        <f t="shared" si="11"/>
        <v>#DIV/0!</v>
      </c>
      <c r="T6" s="1" t="e">
        <f t="shared" si="4"/>
        <v>#DIV/0!</v>
      </c>
      <c r="V6" s="1" t="e">
        <f>$A$23/#REF!</f>
        <v>#REF!</v>
      </c>
      <c r="W6" t="e">
        <f t="shared" ref="W6:X17" si="12">V6/U6</f>
        <v>#REF!</v>
      </c>
      <c r="X6" t="e">
        <f t="shared" si="12"/>
        <v>#REF!</v>
      </c>
      <c r="Z6" s="1" t="e">
        <f t="shared" si="9"/>
        <v>#DIV/0!</v>
      </c>
      <c r="AA6" t="e">
        <f t="shared" si="5"/>
        <v>#DIV/0!</v>
      </c>
      <c r="AB6" s="1" t="e">
        <f>$A$23/#REF!</f>
        <v>#REF!</v>
      </c>
      <c r="AC6" t="e">
        <f t="shared" ref="AC6:AD17" si="13">AB6/AA6</f>
        <v>#REF!</v>
      </c>
      <c r="AD6" t="e">
        <f t="shared" si="13"/>
        <v>#REF!</v>
      </c>
      <c r="AF6" s="1" t="e">
        <f t="shared" si="6"/>
        <v>#DIV/0!</v>
      </c>
      <c r="AG6" t="e">
        <f t="shared" si="7"/>
        <v>#DIV/0!</v>
      </c>
      <c r="AH6" s="1" t="e">
        <f>$A$23/#REF!</f>
        <v>#REF!</v>
      </c>
      <c r="AI6" t="e">
        <f t="shared" ref="AI6:AJ17" si="14">AH6/AG6</f>
        <v>#REF!</v>
      </c>
      <c r="AJ6" t="e">
        <f t="shared" si="14"/>
        <v>#REF!</v>
      </c>
    </row>
    <row r="7" spans="1:36">
      <c r="A7">
        <v>6</v>
      </c>
      <c r="B7" s="1">
        <f t="shared" si="0"/>
        <v>1.5881933776716184</v>
      </c>
      <c r="C7">
        <f t="shared" si="1"/>
        <v>0.26469889627860305</v>
      </c>
      <c r="D7" s="2">
        <v>1.9800199999999999</v>
      </c>
      <c r="E7" s="2">
        <v>1.0017</v>
      </c>
      <c r="F7" s="2">
        <v>0.49111300000000002</v>
      </c>
      <c r="H7" s="1">
        <f t="shared" si="2"/>
        <v>0.39105631331599539</v>
      </c>
      <c r="I7">
        <f t="shared" si="8"/>
        <v>6.5176052219332564E-2</v>
      </c>
      <c r="J7" s="2">
        <v>8.3144600000000004</v>
      </c>
      <c r="K7" s="2">
        <v>5.7834599999999998</v>
      </c>
      <c r="L7" s="2">
        <v>4.1807600000000003</v>
      </c>
      <c r="N7" s="1" t="e">
        <f t="shared" si="3"/>
        <v>#DIV/0!</v>
      </c>
      <c r="P7" s="1" t="e">
        <f t="shared" si="10"/>
        <v>#DIV/0!</v>
      </c>
      <c r="Q7" t="e">
        <f t="shared" si="11"/>
        <v>#DIV/0!</v>
      </c>
      <c r="R7" t="e">
        <f t="shared" si="11"/>
        <v>#DIV/0!</v>
      </c>
      <c r="T7" s="1" t="e">
        <f t="shared" si="4"/>
        <v>#DIV/0!</v>
      </c>
      <c r="V7" s="1" t="e">
        <f>$A$23/#REF!</f>
        <v>#REF!</v>
      </c>
      <c r="W7" t="e">
        <f t="shared" si="12"/>
        <v>#REF!</v>
      </c>
      <c r="X7" t="e">
        <f t="shared" si="12"/>
        <v>#REF!</v>
      </c>
      <c r="Z7" s="1" t="e">
        <f t="shared" si="9"/>
        <v>#DIV/0!</v>
      </c>
      <c r="AA7" t="e">
        <f t="shared" si="5"/>
        <v>#DIV/0!</v>
      </c>
      <c r="AB7" s="1" t="e">
        <f>$A$23/#REF!</f>
        <v>#REF!</v>
      </c>
      <c r="AC7" t="e">
        <f t="shared" si="13"/>
        <v>#REF!</v>
      </c>
      <c r="AD7" t="e">
        <f t="shared" si="13"/>
        <v>#REF!</v>
      </c>
      <c r="AF7" s="1" t="e">
        <f t="shared" si="6"/>
        <v>#DIV/0!</v>
      </c>
      <c r="AG7" t="e">
        <f t="shared" si="7"/>
        <v>#DIV/0!</v>
      </c>
      <c r="AH7" s="1" t="e">
        <f>$A$23/#REF!</f>
        <v>#REF!</v>
      </c>
      <c r="AI7" t="e">
        <f t="shared" si="14"/>
        <v>#REF!</v>
      </c>
      <c r="AJ7" t="e">
        <f t="shared" si="14"/>
        <v>#REF!</v>
      </c>
    </row>
    <row r="8" spans="1:36">
      <c r="A8">
        <v>7</v>
      </c>
      <c r="B8" s="1">
        <f t="shared" si="0"/>
        <v>1.5324047498693443</v>
      </c>
      <c r="C8">
        <f t="shared" si="1"/>
        <v>0.21891496426704918</v>
      </c>
      <c r="D8" s="2">
        <v>1.98644</v>
      </c>
      <c r="E8" s="2">
        <v>1.01176</v>
      </c>
      <c r="F8" s="2">
        <v>0.50489899999999999</v>
      </c>
      <c r="H8" s="1">
        <f t="shared" si="2"/>
        <v>0.31518145854075436</v>
      </c>
      <c r="I8">
        <f t="shared" si="8"/>
        <v>4.5025922648679197E-2</v>
      </c>
      <c r="J8" s="2">
        <v>11.7363</v>
      </c>
      <c r="K8" s="2">
        <v>9.4184000000000001</v>
      </c>
      <c r="L8" s="2">
        <v>6.9173</v>
      </c>
      <c r="N8" s="1" t="e">
        <f t="shared" si="3"/>
        <v>#DIV/0!</v>
      </c>
      <c r="P8" s="1" t="e">
        <f t="shared" si="10"/>
        <v>#DIV/0!</v>
      </c>
      <c r="Q8" t="e">
        <f t="shared" si="11"/>
        <v>#DIV/0!</v>
      </c>
      <c r="R8" t="e">
        <f t="shared" si="11"/>
        <v>#DIV/0!</v>
      </c>
      <c r="T8" s="1" t="e">
        <f t="shared" si="4"/>
        <v>#DIV/0!</v>
      </c>
      <c r="V8" s="1" t="e">
        <f>$A$23/#REF!</f>
        <v>#REF!</v>
      </c>
      <c r="W8" t="e">
        <f t="shared" si="12"/>
        <v>#REF!</v>
      </c>
      <c r="X8" t="e">
        <f t="shared" si="12"/>
        <v>#REF!</v>
      </c>
      <c r="Z8" s="1" t="e">
        <f t="shared" si="9"/>
        <v>#DIV/0!</v>
      </c>
      <c r="AA8" t="e">
        <f t="shared" si="5"/>
        <v>#DIV/0!</v>
      </c>
      <c r="AB8" s="1" t="e">
        <f>$A$23/#REF!</f>
        <v>#REF!</v>
      </c>
      <c r="AC8" t="e">
        <f t="shared" si="13"/>
        <v>#REF!</v>
      </c>
      <c r="AD8" t="e">
        <f t="shared" si="13"/>
        <v>#REF!</v>
      </c>
      <c r="AF8" s="1" t="e">
        <f t="shared" si="6"/>
        <v>#DIV/0!</v>
      </c>
      <c r="AG8" t="e">
        <f t="shared" si="7"/>
        <v>#DIV/0!</v>
      </c>
      <c r="AH8" s="1" t="e">
        <f>$A$23/#REF!</f>
        <v>#REF!</v>
      </c>
      <c r="AI8" t="e">
        <f t="shared" si="14"/>
        <v>#REF!</v>
      </c>
      <c r="AJ8" t="e">
        <f t="shared" si="14"/>
        <v>#REF!</v>
      </c>
    </row>
    <row r="9" spans="1:36">
      <c r="A9">
        <v>8</v>
      </c>
      <c r="B9" s="1">
        <f t="shared" si="0"/>
        <v>1.5573625254139147</v>
      </c>
      <c r="C9">
        <f t="shared" si="1"/>
        <v>0.19467031567673934</v>
      </c>
      <c r="D9" s="2">
        <v>1.9723299999999999</v>
      </c>
      <c r="E9" s="2">
        <v>1.0104500000000001</v>
      </c>
      <c r="F9" s="2">
        <v>0.50875400000000004</v>
      </c>
      <c r="H9" s="1">
        <f t="shared" si="2"/>
        <v>0.30841782628937975</v>
      </c>
      <c r="I9">
        <f t="shared" si="8"/>
        <v>3.8552228286172469E-2</v>
      </c>
      <c r="J9" s="2">
        <v>11.7043</v>
      </c>
      <c r="K9" s="2">
        <v>9.9103899999999996</v>
      </c>
      <c r="L9" s="2">
        <v>5.5405899999999999</v>
      </c>
      <c r="N9" s="1" t="e">
        <f t="shared" si="3"/>
        <v>#DIV/0!</v>
      </c>
      <c r="P9" s="1" t="e">
        <f t="shared" si="10"/>
        <v>#DIV/0!</v>
      </c>
      <c r="Q9" t="e">
        <f t="shared" si="11"/>
        <v>#DIV/0!</v>
      </c>
      <c r="R9" t="e">
        <f t="shared" si="11"/>
        <v>#DIV/0!</v>
      </c>
      <c r="T9" s="1" t="e">
        <f t="shared" si="4"/>
        <v>#DIV/0!</v>
      </c>
      <c r="V9" s="1" t="e">
        <f>$A$23/#REF!</f>
        <v>#REF!</v>
      </c>
      <c r="W9" t="e">
        <f t="shared" si="12"/>
        <v>#REF!</v>
      </c>
      <c r="X9" t="e">
        <f t="shared" si="12"/>
        <v>#REF!</v>
      </c>
      <c r="Z9" s="1" t="e">
        <f t="shared" si="9"/>
        <v>#DIV/0!</v>
      </c>
      <c r="AA9" t="e">
        <f t="shared" si="5"/>
        <v>#DIV/0!</v>
      </c>
      <c r="AB9" s="1" t="e">
        <f>$A$23/#REF!</f>
        <v>#REF!</v>
      </c>
      <c r="AC9" t="e">
        <f t="shared" si="13"/>
        <v>#REF!</v>
      </c>
      <c r="AD9" t="e">
        <f t="shared" si="13"/>
        <v>#REF!</v>
      </c>
      <c r="AF9" s="1" t="e">
        <f t="shared" si="6"/>
        <v>#DIV/0!</v>
      </c>
      <c r="AG9" t="e">
        <f t="shared" si="7"/>
        <v>#DIV/0!</v>
      </c>
      <c r="AH9" s="1" t="e">
        <f>$A$23/#REF!</f>
        <v>#REF!</v>
      </c>
      <c r="AI9" t="e">
        <f t="shared" si="14"/>
        <v>#REF!</v>
      </c>
      <c r="AJ9" t="e">
        <f t="shared" si="14"/>
        <v>#REF!</v>
      </c>
    </row>
    <row r="10" spans="1:36">
      <c r="A10">
        <v>9</v>
      </c>
      <c r="B10" s="1" t="e">
        <f t="shared" si="0"/>
        <v>#DIV/0!</v>
      </c>
      <c r="C10" t="e">
        <f t="shared" si="1"/>
        <v>#DIV/0!</v>
      </c>
      <c r="H10" s="1" t="e">
        <f t="shared" si="2"/>
        <v>#DIV/0!</v>
      </c>
      <c r="I10" t="e">
        <f>H10/A10</f>
        <v>#DIV/0!</v>
      </c>
      <c r="J10" s="1" t="e">
        <f t="shared" ref="J10:J17" si="15">$A$23/J31</f>
        <v>#DIV/0!</v>
      </c>
      <c r="K10" t="e">
        <f t="shared" ref="K10:L17" si="16">J10/I10</f>
        <v>#DIV/0!</v>
      </c>
      <c r="L10" t="e">
        <f t="shared" si="16"/>
        <v>#DIV/0!</v>
      </c>
      <c r="N10" s="1" t="e">
        <f t="shared" si="3"/>
        <v>#DIV/0!</v>
      </c>
      <c r="P10" s="1" t="e">
        <f t="shared" si="10"/>
        <v>#DIV/0!</v>
      </c>
      <c r="Q10" t="e">
        <f t="shared" si="11"/>
        <v>#DIV/0!</v>
      </c>
      <c r="R10" t="e">
        <f t="shared" si="11"/>
        <v>#DIV/0!</v>
      </c>
      <c r="T10" s="1" t="e">
        <f t="shared" si="4"/>
        <v>#DIV/0!</v>
      </c>
      <c r="V10" s="1" t="e">
        <f>$A$23/#REF!</f>
        <v>#REF!</v>
      </c>
      <c r="W10" t="e">
        <f t="shared" si="12"/>
        <v>#REF!</v>
      </c>
      <c r="X10" t="e">
        <f t="shared" si="12"/>
        <v>#REF!</v>
      </c>
      <c r="Z10" s="1" t="e">
        <f t="shared" si="9"/>
        <v>#DIV/0!</v>
      </c>
      <c r="AA10" t="e">
        <f t="shared" si="5"/>
        <v>#DIV/0!</v>
      </c>
      <c r="AB10" s="1" t="e">
        <f>$A$23/#REF!</f>
        <v>#REF!</v>
      </c>
      <c r="AC10" t="e">
        <f t="shared" si="13"/>
        <v>#REF!</v>
      </c>
      <c r="AD10" t="e">
        <f t="shared" si="13"/>
        <v>#REF!</v>
      </c>
      <c r="AF10" s="1" t="e">
        <f t="shared" si="6"/>
        <v>#DIV/0!</v>
      </c>
      <c r="AG10" t="e">
        <f t="shared" si="7"/>
        <v>#DIV/0!</v>
      </c>
      <c r="AH10" s="1" t="e">
        <f>$A$23/#REF!</f>
        <v>#REF!</v>
      </c>
      <c r="AI10" t="e">
        <f t="shared" si="14"/>
        <v>#REF!</v>
      </c>
      <c r="AJ10" t="e">
        <f t="shared" si="14"/>
        <v>#REF!</v>
      </c>
    </row>
    <row r="11" spans="1:36">
      <c r="A11">
        <v>10</v>
      </c>
      <c r="B11" s="1" t="e">
        <f t="shared" si="0"/>
        <v>#DIV/0!</v>
      </c>
      <c r="C11" t="e">
        <f t="shared" si="1"/>
        <v>#DIV/0!</v>
      </c>
      <c r="H11" s="1" t="e">
        <f t="shared" si="2"/>
        <v>#DIV/0!</v>
      </c>
      <c r="I11" t="e">
        <f t="shared" si="8"/>
        <v>#DIV/0!</v>
      </c>
      <c r="J11" s="1" t="e">
        <f t="shared" si="15"/>
        <v>#DIV/0!</v>
      </c>
      <c r="K11" t="e">
        <f t="shared" si="16"/>
        <v>#DIV/0!</v>
      </c>
      <c r="L11" t="e">
        <f t="shared" si="16"/>
        <v>#DIV/0!</v>
      </c>
      <c r="N11" s="1" t="e">
        <f t="shared" si="3"/>
        <v>#DIV/0!</v>
      </c>
      <c r="P11" s="1" t="e">
        <f t="shared" si="10"/>
        <v>#DIV/0!</v>
      </c>
      <c r="Q11" t="e">
        <f t="shared" si="11"/>
        <v>#DIV/0!</v>
      </c>
      <c r="R11" t="e">
        <f t="shared" si="11"/>
        <v>#DIV/0!</v>
      </c>
      <c r="T11" s="1" t="e">
        <f t="shared" si="4"/>
        <v>#DIV/0!</v>
      </c>
      <c r="V11" s="1" t="e">
        <f>$A$23/#REF!</f>
        <v>#REF!</v>
      </c>
      <c r="W11" t="e">
        <f t="shared" si="12"/>
        <v>#REF!</v>
      </c>
      <c r="X11" t="e">
        <f t="shared" si="12"/>
        <v>#REF!</v>
      </c>
      <c r="Z11" s="1" t="e">
        <f t="shared" si="9"/>
        <v>#DIV/0!</v>
      </c>
      <c r="AA11" t="e">
        <f t="shared" si="5"/>
        <v>#DIV/0!</v>
      </c>
      <c r="AB11" s="1" t="e">
        <f>$A$23/#REF!</f>
        <v>#REF!</v>
      </c>
      <c r="AC11" t="e">
        <f t="shared" si="13"/>
        <v>#REF!</v>
      </c>
      <c r="AD11" t="e">
        <f t="shared" si="13"/>
        <v>#REF!</v>
      </c>
      <c r="AF11" s="1" t="e">
        <f t="shared" si="6"/>
        <v>#DIV/0!</v>
      </c>
      <c r="AG11" t="e">
        <f t="shared" si="7"/>
        <v>#DIV/0!</v>
      </c>
      <c r="AH11" s="1" t="e">
        <f>$A$23/#REF!</f>
        <v>#REF!</v>
      </c>
      <c r="AI11" t="e">
        <f t="shared" si="14"/>
        <v>#REF!</v>
      </c>
      <c r="AJ11" t="e">
        <f t="shared" si="14"/>
        <v>#REF!</v>
      </c>
    </row>
    <row r="12" spans="1:36">
      <c r="A12">
        <v>11</v>
      </c>
      <c r="B12" s="1" t="e">
        <f t="shared" si="0"/>
        <v>#DIV/0!</v>
      </c>
      <c r="C12" t="e">
        <f t="shared" si="1"/>
        <v>#DIV/0!</v>
      </c>
      <c r="H12" s="1" t="e">
        <f t="shared" si="2"/>
        <v>#DIV/0!</v>
      </c>
      <c r="I12" t="e">
        <f t="shared" si="8"/>
        <v>#DIV/0!</v>
      </c>
      <c r="J12" s="1" t="e">
        <f t="shared" si="15"/>
        <v>#DIV/0!</v>
      </c>
      <c r="K12" t="e">
        <f t="shared" si="16"/>
        <v>#DIV/0!</v>
      </c>
      <c r="L12" t="e">
        <f t="shared" si="16"/>
        <v>#DIV/0!</v>
      </c>
      <c r="N12" s="1" t="e">
        <f t="shared" si="3"/>
        <v>#DIV/0!</v>
      </c>
      <c r="P12" s="1" t="e">
        <f t="shared" si="10"/>
        <v>#DIV/0!</v>
      </c>
      <c r="Q12" t="e">
        <f t="shared" si="11"/>
        <v>#DIV/0!</v>
      </c>
      <c r="R12" t="e">
        <f t="shared" si="11"/>
        <v>#DIV/0!</v>
      </c>
      <c r="T12" s="1" t="e">
        <f t="shared" si="4"/>
        <v>#DIV/0!</v>
      </c>
      <c r="V12" s="1" t="e">
        <f>$A$23/#REF!</f>
        <v>#REF!</v>
      </c>
      <c r="W12" t="e">
        <f t="shared" si="12"/>
        <v>#REF!</v>
      </c>
      <c r="X12" t="e">
        <f t="shared" si="12"/>
        <v>#REF!</v>
      </c>
      <c r="Z12" s="1" t="e">
        <f t="shared" si="9"/>
        <v>#DIV/0!</v>
      </c>
      <c r="AA12" t="e">
        <f t="shared" si="5"/>
        <v>#DIV/0!</v>
      </c>
      <c r="AB12" s="1" t="e">
        <f>$A$23/#REF!</f>
        <v>#REF!</v>
      </c>
      <c r="AC12" t="e">
        <f t="shared" si="13"/>
        <v>#REF!</v>
      </c>
      <c r="AD12" t="e">
        <f t="shared" si="13"/>
        <v>#REF!</v>
      </c>
      <c r="AF12" s="1" t="e">
        <f t="shared" si="6"/>
        <v>#DIV/0!</v>
      </c>
      <c r="AG12" t="e">
        <f t="shared" si="7"/>
        <v>#DIV/0!</v>
      </c>
      <c r="AH12" s="1" t="e">
        <f>$A$23/#REF!</f>
        <v>#REF!</v>
      </c>
      <c r="AI12" t="e">
        <f t="shared" si="14"/>
        <v>#REF!</v>
      </c>
      <c r="AJ12" t="e">
        <f t="shared" si="14"/>
        <v>#REF!</v>
      </c>
    </row>
    <row r="13" spans="1:36">
      <c r="A13">
        <v>12</v>
      </c>
      <c r="B13" s="1" t="e">
        <f t="shared" si="0"/>
        <v>#DIV/0!</v>
      </c>
      <c r="C13" t="e">
        <f t="shared" si="1"/>
        <v>#DIV/0!</v>
      </c>
      <c r="H13" s="1" t="e">
        <f t="shared" si="2"/>
        <v>#DIV/0!</v>
      </c>
      <c r="I13" t="e">
        <f t="shared" si="8"/>
        <v>#DIV/0!</v>
      </c>
      <c r="J13" s="1" t="e">
        <f t="shared" si="15"/>
        <v>#DIV/0!</v>
      </c>
      <c r="K13" t="e">
        <f t="shared" si="16"/>
        <v>#DIV/0!</v>
      </c>
      <c r="L13" t="e">
        <f t="shared" si="16"/>
        <v>#DIV/0!</v>
      </c>
      <c r="N13" s="1" t="e">
        <f t="shared" si="3"/>
        <v>#DIV/0!</v>
      </c>
      <c r="P13" s="1" t="e">
        <f t="shared" si="10"/>
        <v>#DIV/0!</v>
      </c>
      <c r="Q13" t="e">
        <f t="shared" si="11"/>
        <v>#DIV/0!</v>
      </c>
      <c r="R13" t="e">
        <f t="shared" si="11"/>
        <v>#DIV/0!</v>
      </c>
      <c r="T13" s="1" t="e">
        <f t="shared" si="4"/>
        <v>#DIV/0!</v>
      </c>
      <c r="V13" s="1" t="e">
        <f>$A$23/#REF!</f>
        <v>#REF!</v>
      </c>
      <c r="W13" t="e">
        <f t="shared" si="12"/>
        <v>#REF!</v>
      </c>
      <c r="X13" t="e">
        <f t="shared" si="12"/>
        <v>#REF!</v>
      </c>
      <c r="Z13" s="1" t="e">
        <f t="shared" si="9"/>
        <v>#DIV/0!</v>
      </c>
      <c r="AA13" t="e">
        <f t="shared" si="5"/>
        <v>#DIV/0!</v>
      </c>
      <c r="AB13" s="1" t="e">
        <f>$A$23/#REF!</f>
        <v>#REF!</v>
      </c>
      <c r="AC13" t="e">
        <f t="shared" si="13"/>
        <v>#REF!</v>
      </c>
      <c r="AD13" t="e">
        <f t="shared" si="13"/>
        <v>#REF!</v>
      </c>
      <c r="AF13" s="1" t="e">
        <f t="shared" si="6"/>
        <v>#DIV/0!</v>
      </c>
      <c r="AG13" t="e">
        <f t="shared" si="7"/>
        <v>#DIV/0!</v>
      </c>
      <c r="AH13" s="1" t="e">
        <f>$A$23/#REF!</f>
        <v>#REF!</v>
      </c>
      <c r="AI13" t="e">
        <f t="shared" si="14"/>
        <v>#REF!</v>
      </c>
      <c r="AJ13" t="e">
        <f t="shared" si="14"/>
        <v>#REF!</v>
      </c>
    </row>
    <row r="14" spans="1:36">
      <c r="A14">
        <v>13</v>
      </c>
      <c r="B14" s="1" t="e">
        <f t="shared" si="0"/>
        <v>#DIV/0!</v>
      </c>
      <c r="C14" t="e">
        <f t="shared" si="1"/>
        <v>#DIV/0!</v>
      </c>
      <c r="H14" s="1" t="e">
        <f t="shared" si="2"/>
        <v>#DIV/0!</v>
      </c>
      <c r="I14" t="e">
        <f t="shared" si="8"/>
        <v>#DIV/0!</v>
      </c>
      <c r="J14" s="1" t="e">
        <f t="shared" si="15"/>
        <v>#DIV/0!</v>
      </c>
      <c r="K14" t="e">
        <f t="shared" si="16"/>
        <v>#DIV/0!</v>
      </c>
      <c r="L14" t="e">
        <f t="shared" si="16"/>
        <v>#DIV/0!</v>
      </c>
      <c r="N14" s="1" t="e">
        <f t="shared" si="3"/>
        <v>#DIV/0!</v>
      </c>
      <c r="P14" s="1" t="e">
        <f t="shared" si="10"/>
        <v>#DIV/0!</v>
      </c>
      <c r="Q14" t="e">
        <f t="shared" si="11"/>
        <v>#DIV/0!</v>
      </c>
      <c r="R14" t="e">
        <f t="shared" si="11"/>
        <v>#DIV/0!</v>
      </c>
      <c r="T14" s="1" t="e">
        <f t="shared" si="4"/>
        <v>#DIV/0!</v>
      </c>
      <c r="V14" s="1" t="e">
        <f>$A$23/#REF!</f>
        <v>#REF!</v>
      </c>
      <c r="W14" t="e">
        <f t="shared" si="12"/>
        <v>#REF!</v>
      </c>
      <c r="X14" t="e">
        <f t="shared" si="12"/>
        <v>#REF!</v>
      </c>
      <c r="Z14" s="1" t="e">
        <f t="shared" si="9"/>
        <v>#DIV/0!</v>
      </c>
      <c r="AA14" t="e">
        <f t="shared" si="5"/>
        <v>#DIV/0!</v>
      </c>
      <c r="AB14" s="1" t="e">
        <f>$A$23/#REF!</f>
        <v>#REF!</v>
      </c>
      <c r="AC14" t="e">
        <f t="shared" si="13"/>
        <v>#REF!</v>
      </c>
      <c r="AD14" t="e">
        <f t="shared" si="13"/>
        <v>#REF!</v>
      </c>
      <c r="AF14" s="1" t="e">
        <f t="shared" si="6"/>
        <v>#DIV/0!</v>
      </c>
      <c r="AG14" t="e">
        <f t="shared" si="7"/>
        <v>#DIV/0!</v>
      </c>
      <c r="AH14" s="1" t="e">
        <f>$A$23/#REF!</f>
        <v>#REF!</v>
      </c>
      <c r="AI14" t="e">
        <f t="shared" si="14"/>
        <v>#REF!</v>
      </c>
      <c r="AJ14" t="e">
        <f t="shared" si="14"/>
        <v>#REF!</v>
      </c>
    </row>
    <row r="15" spans="1:36">
      <c r="A15">
        <v>14</v>
      </c>
      <c r="B15" s="1" t="e">
        <f t="shared" si="0"/>
        <v>#DIV/0!</v>
      </c>
      <c r="C15" t="e">
        <f t="shared" si="1"/>
        <v>#DIV/0!</v>
      </c>
      <c r="H15" s="1" t="e">
        <f t="shared" si="2"/>
        <v>#DIV/0!</v>
      </c>
      <c r="I15" t="e">
        <f t="shared" si="8"/>
        <v>#DIV/0!</v>
      </c>
      <c r="J15" s="1" t="e">
        <f t="shared" si="15"/>
        <v>#DIV/0!</v>
      </c>
      <c r="K15" t="e">
        <f t="shared" si="16"/>
        <v>#DIV/0!</v>
      </c>
      <c r="L15" t="e">
        <f t="shared" si="16"/>
        <v>#DIV/0!</v>
      </c>
      <c r="N15" s="1" t="e">
        <f t="shared" si="3"/>
        <v>#DIV/0!</v>
      </c>
      <c r="P15" s="1" t="e">
        <f t="shared" si="10"/>
        <v>#DIV/0!</v>
      </c>
      <c r="Q15" t="e">
        <f t="shared" si="11"/>
        <v>#DIV/0!</v>
      </c>
      <c r="R15" t="e">
        <f t="shared" si="11"/>
        <v>#DIV/0!</v>
      </c>
      <c r="T15" s="1" t="e">
        <f t="shared" si="4"/>
        <v>#DIV/0!</v>
      </c>
      <c r="V15" s="1" t="e">
        <f>$A$23/#REF!</f>
        <v>#REF!</v>
      </c>
      <c r="W15" t="e">
        <f t="shared" si="12"/>
        <v>#REF!</v>
      </c>
      <c r="X15" t="e">
        <f t="shared" si="12"/>
        <v>#REF!</v>
      </c>
      <c r="Z15" s="1" t="e">
        <f t="shared" si="9"/>
        <v>#DIV/0!</v>
      </c>
      <c r="AA15" t="e">
        <f t="shared" si="5"/>
        <v>#DIV/0!</v>
      </c>
      <c r="AB15" s="1" t="e">
        <f>$A$23/#REF!</f>
        <v>#REF!</v>
      </c>
      <c r="AC15" t="e">
        <f t="shared" si="13"/>
        <v>#REF!</v>
      </c>
      <c r="AD15" t="e">
        <f t="shared" si="13"/>
        <v>#REF!</v>
      </c>
      <c r="AF15" s="1" t="e">
        <f t="shared" si="6"/>
        <v>#DIV/0!</v>
      </c>
      <c r="AG15" t="e">
        <f t="shared" si="7"/>
        <v>#DIV/0!</v>
      </c>
      <c r="AH15" s="1" t="e">
        <f>$A$23/#REF!</f>
        <v>#REF!</v>
      </c>
      <c r="AI15" t="e">
        <f t="shared" si="14"/>
        <v>#REF!</v>
      </c>
      <c r="AJ15" t="e">
        <f t="shared" si="14"/>
        <v>#REF!</v>
      </c>
    </row>
    <row r="16" spans="1:36">
      <c r="A16">
        <v>15</v>
      </c>
      <c r="B16" s="1" t="e">
        <f t="shared" si="0"/>
        <v>#DIV/0!</v>
      </c>
      <c r="C16" t="e">
        <f t="shared" si="1"/>
        <v>#DIV/0!</v>
      </c>
      <c r="H16" s="1" t="e">
        <f t="shared" si="2"/>
        <v>#DIV/0!</v>
      </c>
      <c r="I16" t="e">
        <f t="shared" si="8"/>
        <v>#DIV/0!</v>
      </c>
      <c r="J16" s="1" t="e">
        <f t="shared" si="15"/>
        <v>#DIV/0!</v>
      </c>
      <c r="K16" t="e">
        <f t="shared" si="16"/>
        <v>#DIV/0!</v>
      </c>
      <c r="L16" t="e">
        <f t="shared" si="16"/>
        <v>#DIV/0!</v>
      </c>
      <c r="N16" s="1" t="e">
        <f t="shared" si="3"/>
        <v>#DIV/0!</v>
      </c>
      <c r="P16" s="1" t="e">
        <f t="shared" si="10"/>
        <v>#DIV/0!</v>
      </c>
      <c r="Q16" t="e">
        <f t="shared" si="11"/>
        <v>#DIV/0!</v>
      </c>
      <c r="R16" t="e">
        <f t="shared" si="11"/>
        <v>#DIV/0!</v>
      </c>
      <c r="T16" s="1" t="e">
        <f t="shared" si="4"/>
        <v>#DIV/0!</v>
      </c>
      <c r="V16" s="1" t="e">
        <f>$A$23/#REF!</f>
        <v>#REF!</v>
      </c>
      <c r="W16" t="e">
        <f t="shared" si="12"/>
        <v>#REF!</v>
      </c>
      <c r="X16" t="e">
        <f t="shared" si="12"/>
        <v>#REF!</v>
      </c>
      <c r="Z16" s="1" t="e">
        <f t="shared" si="9"/>
        <v>#DIV/0!</v>
      </c>
      <c r="AA16" t="e">
        <f t="shared" si="5"/>
        <v>#DIV/0!</v>
      </c>
      <c r="AB16" s="1" t="e">
        <f>$A$23/#REF!</f>
        <v>#REF!</v>
      </c>
      <c r="AC16" t="e">
        <f t="shared" si="13"/>
        <v>#REF!</v>
      </c>
      <c r="AD16" t="e">
        <f t="shared" si="13"/>
        <v>#REF!</v>
      </c>
      <c r="AF16" s="1" t="e">
        <f t="shared" si="6"/>
        <v>#DIV/0!</v>
      </c>
      <c r="AG16" t="e">
        <f t="shared" si="7"/>
        <v>#DIV/0!</v>
      </c>
      <c r="AH16" s="1" t="e">
        <f>$A$23/#REF!</f>
        <v>#REF!</v>
      </c>
      <c r="AI16" t="e">
        <f t="shared" si="14"/>
        <v>#REF!</v>
      </c>
      <c r="AJ16" t="e">
        <f t="shared" si="14"/>
        <v>#REF!</v>
      </c>
    </row>
    <row r="17" spans="1:36">
      <c r="A17">
        <v>16</v>
      </c>
      <c r="B17" s="1" t="e">
        <f t="shared" si="0"/>
        <v>#DIV/0!</v>
      </c>
      <c r="C17" t="e">
        <f t="shared" si="1"/>
        <v>#DIV/0!</v>
      </c>
      <c r="H17" s="1" t="e">
        <f t="shared" si="2"/>
        <v>#DIV/0!</v>
      </c>
      <c r="I17" t="e">
        <f t="shared" si="8"/>
        <v>#DIV/0!</v>
      </c>
      <c r="J17" s="1" t="e">
        <f t="shared" si="15"/>
        <v>#DIV/0!</v>
      </c>
      <c r="K17" t="e">
        <f t="shared" si="16"/>
        <v>#DIV/0!</v>
      </c>
      <c r="L17" t="e">
        <f t="shared" si="16"/>
        <v>#DIV/0!</v>
      </c>
      <c r="N17" s="1" t="e">
        <f t="shared" si="3"/>
        <v>#DIV/0!</v>
      </c>
      <c r="P17" s="1" t="e">
        <f t="shared" si="10"/>
        <v>#DIV/0!</v>
      </c>
      <c r="Q17" t="e">
        <f t="shared" si="11"/>
        <v>#DIV/0!</v>
      </c>
      <c r="R17" t="e">
        <f t="shared" si="11"/>
        <v>#DIV/0!</v>
      </c>
      <c r="T17" s="1" t="e">
        <f t="shared" si="4"/>
        <v>#DIV/0!</v>
      </c>
      <c r="V17" s="1" t="e">
        <f>$A$23/#REF!</f>
        <v>#REF!</v>
      </c>
      <c r="W17" t="e">
        <f t="shared" si="12"/>
        <v>#REF!</v>
      </c>
      <c r="X17" t="e">
        <f t="shared" si="12"/>
        <v>#REF!</v>
      </c>
      <c r="Z17" s="1" t="e">
        <f t="shared" si="9"/>
        <v>#DIV/0!</v>
      </c>
      <c r="AA17" t="e">
        <f t="shared" si="5"/>
        <v>#DIV/0!</v>
      </c>
      <c r="AB17" s="1" t="e">
        <f>$A$23/#REF!</f>
        <v>#REF!</v>
      </c>
      <c r="AC17" t="e">
        <f t="shared" si="13"/>
        <v>#REF!</v>
      </c>
      <c r="AD17" t="e">
        <f t="shared" si="13"/>
        <v>#REF!</v>
      </c>
      <c r="AF17" s="1" t="e">
        <f t="shared" si="6"/>
        <v>#DIV/0!</v>
      </c>
      <c r="AG17" t="e">
        <f t="shared" si="7"/>
        <v>#DIV/0!</v>
      </c>
      <c r="AH17" s="1" t="e">
        <f>$A$23/#REF!</f>
        <v>#REF!</v>
      </c>
      <c r="AI17" t="e">
        <f t="shared" si="14"/>
        <v>#REF!</v>
      </c>
      <c r="AJ17" t="e">
        <f t="shared" si="14"/>
        <v>#REF!</v>
      </c>
    </row>
    <row r="22" spans="1:36">
      <c r="A22" t="s">
        <v>1</v>
      </c>
      <c r="B22" t="s">
        <v>4</v>
      </c>
      <c r="C22" t="s">
        <v>1</v>
      </c>
      <c r="D22" t="s">
        <v>6</v>
      </c>
      <c r="E22" t="s">
        <v>7</v>
      </c>
      <c r="F22" t="s">
        <v>8</v>
      </c>
      <c r="H22" t="s">
        <v>5</v>
      </c>
      <c r="N22" t="s">
        <v>15</v>
      </c>
      <c r="T22" t="s">
        <v>16</v>
      </c>
      <c r="Z22" t="s">
        <v>18</v>
      </c>
      <c r="AF22" t="s">
        <v>18</v>
      </c>
    </row>
    <row r="23" spans="1:36">
      <c r="A23">
        <f>SUM(C23:C30)/COUNT(C23:C30)</f>
        <v>3.5772149999999998</v>
      </c>
      <c r="B23" s="3">
        <v>2.9789699999999999</v>
      </c>
      <c r="C23" s="2">
        <v>3.6369699999999998</v>
      </c>
      <c r="D23" s="2">
        <v>3.1755800000000001</v>
      </c>
      <c r="E23" s="2">
        <v>1.59015</v>
      </c>
      <c r="F23" s="2">
        <v>0.75941700000000001</v>
      </c>
      <c r="H23" s="2">
        <v>7.8628600000000004</v>
      </c>
      <c r="N23" s="2">
        <v>0.26976299999999998</v>
      </c>
      <c r="T23" s="2">
        <v>0.22931099999999999</v>
      </c>
      <c r="Z23">
        <v>6.3343099999999999E-2</v>
      </c>
      <c r="AF23">
        <v>4.5544300000000003E-2</v>
      </c>
    </row>
    <row r="24" spans="1:36">
      <c r="B24" s="2">
        <v>2.17313</v>
      </c>
      <c r="C24" s="2">
        <v>3.5848300000000002</v>
      </c>
      <c r="D24" s="2">
        <v>3.1993200000000002</v>
      </c>
      <c r="E24" s="2">
        <v>1.55558</v>
      </c>
      <c r="F24" s="2">
        <v>0.77666000000000002</v>
      </c>
      <c r="H24" s="2">
        <v>5.7889699999999999</v>
      </c>
      <c r="N24" s="2">
        <v>0.304674</v>
      </c>
      <c r="T24" s="2">
        <v>0.11630600000000001</v>
      </c>
      <c r="Z24">
        <v>5.0965000000000003E-2</v>
      </c>
      <c r="AF24">
        <v>2.3572900000000001E-2</v>
      </c>
    </row>
    <row r="25" spans="1:36">
      <c r="B25" s="2">
        <v>2.3078599999999998</v>
      </c>
      <c r="C25" s="2">
        <v>3.5085999999999999</v>
      </c>
      <c r="D25" s="2">
        <v>3.13931</v>
      </c>
      <c r="E25" s="2">
        <v>1.56151</v>
      </c>
      <c r="F25" s="2">
        <v>0.78772399999999998</v>
      </c>
      <c r="H25" s="2">
        <v>9.1534399999999998</v>
      </c>
      <c r="N25" s="2">
        <v>0.41843599999999997</v>
      </c>
      <c r="T25">
        <v>0.15812100000000001</v>
      </c>
      <c r="Z25">
        <v>5.8397999999999999E-2</v>
      </c>
      <c r="AF25">
        <v>4.3673400000000001E-2</v>
      </c>
    </row>
    <row r="26" spans="1:36">
      <c r="B26" s="2">
        <v>2.2610299999999999</v>
      </c>
      <c r="C26" s="2">
        <v>3.6620300000000001</v>
      </c>
      <c r="D26" s="2">
        <v>3.12364</v>
      </c>
      <c r="E26" s="2">
        <v>1.5699099999999999</v>
      </c>
      <c r="F26" s="2">
        <v>0.76821399999999995</v>
      </c>
      <c r="H26" s="2">
        <v>8.09971</v>
      </c>
      <c r="T26">
        <v>0.13075500000000001</v>
      </c>
      <c r="Z26">
        <v>5.6165699999999999E-2</v>
      </c>
      <c r="AF26">
        <v>4.4698500000000002E-2</v>
      </c>
    </row>
    <row r="27" spans="1:36">
      <c r="B27" s="2">
        <v>2.29501</v>
      </c>
      <c r="C27" s="2">
        <v>3.5236800000000001</v>
      </c>
      <c r="D27" s="2">
        <v>3.1412399999999998</v>
      </c>
      <c r="E27" s="2">
        <v>1.54583</v>
      </c>
      <c r="F27" s="2">
        <v>0.76532299999999998</v>
      </c>
      <c r="H27" s="2">
        <v>9.1316600000000001</v>
      </c>
    </row>
    <row r="28" spans="1:36">
      <c r="B28" s="2">
        <v>2.25238</v>
      </c>
      <c r="C28" s="2">
        <v>3.5384000000000002</v>
      </c>
      <c r="D28" s="2">
        <v>3.0671400000000002</v>
      </c>
      <c r="E28" s="2">
        <v>1.5965499999999999</v>
      </c>
      <c r="F28" s="2">
        <v>0.78099600000000002</v>
      </c>
      <c r="H28" s="2">
        <v>9.14757</v>
      </c>
    </row>
    <row r="29" spans="1:36">
      <c r="B29" s="2">
        <v>2.3343799999999999</v>
      </c>
      <c r="C29" s="2">
        <v>3.57131</v>
      </c>
      <c r="D29" s="2">
        <v>3.1012499999999998</v>
      </c>
      <c r="E29" s="2">
        <v>1.5949500000000001</v>
      </c>
      <c r="F29" s="2">
        <v>0.76933700000000005</v>
      </c>
      <c r="H29" s="2">
        <v>11.3497</v>
      </c>
    </row>
    <row r="30" spans="1:36">
      <c r="B30" s="2">
        <v>2.29697</v>
      </c>
      <c r="C30" s="2">
        <v>3.5918999999999999</v>
      </c>
      <c r="D30" s="2">
        <v>3.0722499999999999</v>
      </c>
      <c r="E30" s="2">
        <v>1.5729200000000001</v>
      </c>
      <c r="F30" s="2">
        <v>0.77054400000000001</v>
      </c>
      <c r="H30" s="2">
        <v>11.598599999999999</v>
      </c>
    </row>
  </sheetData>
  <pageMargins left="0.7" right="0.7" top="0.75" bottom="0.75" header="0.3" footer="0.3"/>
  <pageSetup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510E8-535D-4EE7-A3A1-C97A40CAFE50}">
  <dimension ref="A1:AJ31"/>
  <sheetViews>
    <sheetView zoomScale="85" zoomScaleNormal="85" workbookViewId="0">
      <selection activeCell="A24" sqref="A24"/>
    </sheetView>
  </sheetViews>
  <sheetFormatPr defaultRowHeight="14.4"/>
  <cols>
    <col min="2" max="2" width="14.88671875" bestFit="1" customWidth="1"/>
    <col min="3" max="3" width="15.33203125" bestFit="1" customWidth="1"/>
    <col min="8" max="8" width="21" bestFit="1" customWidth="1"/>
    <col min="9" max="9" width="21.5546875" bestFit="1" customWidth="1"/>
    <col min="14" max="14" width="16.5546875" bestFit="1" customWidth="1"/>
    <col min="15" max="15" width="17" bestFit="1" customWidth="1"/>
    <col min="19" max="19" width="11.33203125" bestFit="1" customWidth="1"/>
    <col min="20" max="20" width="20.6640625" bestFit="1" customWidth="1"/>
    <col min="21" max="21" width="22.33203125" bestFit="1" customWidth="1"/>
    <col min="25" max="25" width="12.21875" bestFit="1" customWidth="1"/>
    <col min="26" max="26" width="21.33203125" bestFit="1" customWidth="1"/>
    <col min="27" max="27" width="22.33203125" bestFit="1" customWidth="1"/>
    <col min="31" max="31" width="12.21875" bestFit="1" customWidth="1"/>
  </cols>
  <sheetData>
    <row r="1" spans="1:36">
      <c r="A1" t="s">
        <v>0</v>
      </c>
      <c r="B1" t="s">
        <v>3</v>
      </c>
      <c r="C1" t="s">
        <v>2</v>
      </c>
      <c r="D1" t="s">
        <v>6</v>
      </c>
      <c r="E1" t="s">
        <v>7</v>
      </c>
      <c r="F1" t="s">
        <v>8</v>
      </c>
      <c r="H1" t="s">
        <v>10</v>
      </c>
      <c r="I1" t="s">
        <v>11</v>
      </c>
      <c r="J1" t="s">
        <v>6</v>
      </c>
      <c r="K1" t="s">
        <v>7</v>
      </c>
      <c r="L1" t="s">
        <v>8</v>
      </c>
      <c r="N1" t="s">
        <v>9</v>
      </c>
      <c r="O1" t="s">
        <v>12</v>
      </c>
      <c r="P1" t="s">
        <v>6</v>
      </c>
      <c r="Q1" t="s">
        <v>7</v>
      </c>
      <c r="R1" t="s">
        <v>8</v>
      </c>
      <c r="S1" t="s">
        <v>17</v>
      </c>
      <c r="T1" t="s">
        <v>13</v>
      </c>
      <c r="U1" t="s">
        <v>14</v>
      </c>
      <c r="V1" t="s">
        <v>6</v>
      </c>
      <c r="W1" t="s">
        <v>7</v>
      </c>
      <c r="X1" t="s">
        <v>8</v>
      </c>
      <c r="Y1" t="s">
        <v>19</v>
      </c>
      <c r="Z1" t="s">
        <v>13</v>
      </c>
      <c r="AA1" t="s">
        <v>14</v>
      </c>
      <c r="AB1" t="s">
        <v>6</v>
      </c>
      <c r="AC1" t="s">
        <v>7</v>
      </c>
      <c r="AD1" t="s">
        <v>8</v>
      </c>
      <c r="AE1" t="s">
        <v>20</v>
      </c>
      <c r="AF1" t="s">
        <v>13</v>
      </c>
      <c r="AG1" t="s">
        <v>14</v>
      </c>
      <c r="AH1" t="s">
        <v>6</v>
      </c>
      <c r="AI1" t="s">
        <v>7</v>
      </c>
      <c r="AJ1" t="s">
        <v>8</v>
      </c>
    </row>
    <row r="2" spans="1:36">
      <c r="A2">
        <v>1</v>
      </c>
      <c r="B2" s="1" t="e">
        <f t="shared" ref="B2:B17" si="0">$A$23/B23</f>
        <v>#DIV/0!</v>
      </c>
      <c r="C2" t="e">
        <f t="shared" ref="C2:C17" si="1">B2/A2</f>
        <v>#DIV/0!</v>
      </c>
      <c r="H2" s="1" t="e">
        <f t="shared" ref="H2:H17" si="2">$A$23/H23</f>
        <v>#DIV/0!</v>
      </c>
      <c r="I2" t="e">
        <f>H2/A2</f>
        <v>#DIV/0!</v>
      </c>
      <c r="M2" s="2">
        <v>64</v>
      </c>
      <c r="N2" s="1" t="e">
        <f t="shared" ref="N2:N17" si="3">$A$23/N23</f>
        <v>#DIV/0!</v>
      </c>
      <c r="S2" s="2">
        <v>1</v>
      </c>
      <c r="T2" s="1" t="e">
        <f t="shared" ref="T2:T17" si="4">$A$23/T23</f>
        <v>#DIV/0!</v>
      </c>
      <c r="Z2" s="1" t="e">
        <f>$A$23/Z23</f>
        <v>#DIV/0!</v>
      </c>
      <c r="AA2" t="e">
        <f t="shared" ref="AA2:AA17" si="5">Z2/Y2</f>
        <v>#DIV/0!</v>
      </c>
      <c r="AF2" s="1" t="e">
        <f t="shared" ref="AF2:AF17" si="6">$A$23/AF23</f>
        <v>#DIV/0!</v>
      </c>
      <c r="AG2" t="e">
        <f t="shared" ref="AG2:AG17" si="7">AF2/AE2</f>
        <v>#DIV/0!</v>
      </c>
    </row>
    <row r="3" spans="1:36">
      <c r="A3">
        <v>2</v>
      </c>
      <c r="B3" s="1" t="e">
        <f t="shared" si="0"/>
        <v>#DIV/0!</v>
      </c>
      <c r="C3" t="e">
        <f t="shared" si="1"/>
        <v>#DIV/0!</v>
      </c>
      <c r="H3" s="1" t="e">
        <f t="shared" si="2"/>
        <v>#DIV/0!</v>
      </c>
      <c r="I3" t="e">
        <f t="shared" ref="I3:I17" si="8">H3/A3</f>
        <v>#DIV/0!</v>
      </c>
      <c r="M3" s="2">
        <v>256</v>
      </c>
      <c r="N3" s="1" t="e">
        <f t="shared" si="3"/>
        <v>#DIV/0!</v>
      </c>
      <c r="S3" s="2">
        <v>2</v>
      </c>
      <c r="T3" s="1" t="e">
        <f t="shared" si="4"/>
        <v>#DIV/0!</v>
      </c>
      <c r="Z3" s="1" t="e">
        <f>$A$23/Z24</f>
        <v>#DIV/0!</v>
      </c>
      <c r="AA3" t="e">
        <f t="shared" si="5"/>
        <v>#DIV/0!</v>
      </c>
      <c r="AF3" s="1" t="e">
        <f t="shared" si="6"/>
        <v>#DIV/0!</v>
      </c>
      <c r="AG3" t="e">
        <f t="shared" si="7"/>
        <v>#DIV/0!</v>
      </c>
    </row>
    <row r="4" spans="1:36">
      <c r="A4">
        <v>3</v>
      </c>
      <c r="B4" s="1" t="e">
        <f t="shared" si="0"/>
        <v>#DIV/0!</v>
      </c>
      <c r="C4" t="e">
        <f t="shared" si="1"/>
        <v>#DIV/0!</v>
      </c>
      <c r="H4" s="1" t="e">
        <f t="shared" si="2"/>
        <v>#DIV/0!</v>
      </c>
      <c r="I4" t="e">
        <f t="shared" si="8"/>
        <v>#DIV/0!</v>
      </c>
      <c r="M4" s="2">
        <v>1024</v>
      </c>
      <c r="N4" s="1" t="e">
        <f t="shared" si="3"/>
        <v>#DIV/0!</v>
      </c>
      <c r="S4" s="2">
        <v>3</v>
      </c>
      <c r="T4" s="1" t="e">
        <f t="shared" si="4"/>
        <v>#DIV/0!</v>
      </c>
      <c r="Z4" s="1" t="e">
        <f t="shared" ref="Z4:Z17" si="9">$A$23/Z25</f>
        <v>#DIV/0!</v>
      </c>
      <c r="AA4" t="e">
        <f t="shared" si="5"/>
        <v>#DIV/0!</v>
      </c>
      <c r="AF4" s="1" t="e">
        <f t="shared" si="6"/>
        <v>#DIV/0!</v>
      </c>
      <c r="AG4" t="e">
        <f t="shared" si="7"/>
        <v>#DIV/0!</v>
      </c>
    </row>
    <row r="5" spans="1:36">
      <c r="A5">
        <v>4</v>
      </c>
      <c r="B5" s="1" t="e">
        <f t="shared" si="0"/>
        <v>#DIV/0!</v>
      </c>
      <c r="C5" t="e">
        <f t="shared" si="1"/>
        <v>#DIV/0!</v>
      </c>
      <c r="H5" s="1" t="e">
        <f t="shared" si="2"/>
        <v>#DIV/0!</v>
      </c>
      <c r="I5" t="e">
        <f t="shared" si="8"/>
        <v>#DIV/0!</v>
      </c>
      <c r="N5" s="1" t="e">
        <f t="shared" si="3"/>
        <v>#DIV/0!</v>
      </c>
      <c r="S5" s="2">
        <v>4</v>
      </c>
      <c r="T5" s="1" t="e">
        <f t="shared" si="4"/>
        <v>#DIV/0!</v>
      </c>
      <c r="Z5" s="1" t="e">
        <f t="shared" si="9"/>
        <v>#DIV/0!</v>
      </c>
      <c r="AA5" t="e">
        <f t="shared" si="5"/>
        <v>#DIV/0!</v>
      </c>
      <c r="AF5" s="1" t="e">
        <f t="shared" si="6"/>
        <v>#DIV/0!</v>
      </c>
      <c r="AG5" t="e">
        <f t="shared" si="7"/>
        <v>#DIV/0!</v>
      </c>
    </row>
    <row r="6" spans="1:36">
      <c r="A6">
        <v>5</v>
      </c>
      <c r="B6" s="1" t="e">
        <f t="shared" si="0"/>
        <v>#DIV/0!</v>
      </c>
      <c r="C6" t="e">
        <f t="shared" si="1"/>
        <v>#DIV/0!</v>
      </c>
      <c r="H6" s="1" t="e">
        <f t="shared" si="2"/>
        <v>#DIV/0!</v>
      </c>
      <c r="I6" t="e">
        <f t="shared" si="8"/>
        <v>#DIV/0!</v>
      </c>
      <c r="N6" s="1" t="e">
        <f t="shared" si="3"/>
        <v>#DIV/0!</v>
      </c>
      <c r="T6" s="1" t="e">
        <f t="shared" si="4"/>
        <v>#DIV/0!</v>
      </c>
      <c r="Z6" s="1" t="e">
        <f t="shared" si="9"/>
        <v>#DIV/0!</v>
      </c>
      <c r="AA6" t="e">
        <f t="shared" si="5"/>
        <v>#DIV/0!</v>
      </c>
      <c r="AF6" s="1" t="e">
        <f t="shared" si="6"/>
        <v>#DIV/0!</v>
      </c>
      <c r="AG6" t="e">
        <f t="shared" si="7"/>
        <v>#DIV/0!</v>
      </c>
    </row>
    <row r="7" spans="1:36">
      <c r="A7">
        <v>6</v>
      </c>
      <c r="B7" s="1" t="e">
        <f t="shared" si="0"/>
        <v>#DIV/0!</v>
      </c>
      <c r="C7" t="e">
        <f t="shared" si="1"/>
        <v>#DIV/0!</v>
      </c>
      <c r="H7" s="1" t="e">
        <f t="shared" si="2"/>
        <v>#DIV/0!</v>
      </c>
      <c r="I7" t="e">
        <f t="shared" si="8"/>
        <v>#DIV/0!</v>
      </c>
      <c r="N7" s="1" t="e">
        <f t="shared" si="3"/>
        <v>#DIV/0!</v>
      </c>
      <c r="T7" s="1" t="e">
        <f t="shared" si="4"/>
        <v>#DIV/0!</v>
      </c>
      <c r="Z7" s="1" t="e">
        <f t="shared" si="9"/>
        <v>#DIV/0!</v>
      </c>
      <c r="AA7" t="e">
        <f t="shared" si="5"/>
        <v>#DIV/0!</v>
      </c>
      <c r="AF7" s="1" t="e">
        <f t="shared" si="6"/>
        <v>#DIV/0!</v>
      </c>
      <c r="AG7" t="e">
        <f t="shared" si="7"/>
        <v>#DIV/0!</v>
      </c>
    </row>
    <row r="8" spans="1:36">
      <c r="A8">
        <v>7</v>
      </c>
      <c r="B8" s="1" t="e">
        <f t="shared" si="0"/>
        <v>#DIV/0!</v>
      </c>
      <c r="C8" t="e">
        <f t="shared" si="1"/>
        <v>#DIV/0!</v>
      </c>
      <c r="H8" s="1" t="e">
        <f t="shared" si="2"/>
        <v>#DIV/0!</v>
      </c>
      <c r="I8" t="e">
        <f t="shared" si="8"/>
        <v>#DIV/0!</v>
      </c>
      <c r="N8" s="1" t="e">
        <f t="shared" si="3"/>
        <v>#DIV/0!</v>
      </c>
      <c r="T8" s="1" t="e">
        <f t="shared" si="4"/>
        <v>#DIV/0!</v>
      </c>
      <c r="Z8" s="1" t="e">
        <f t="shared" si="9"/>
        <v>#DIV/0!</v>
      </c>
      <c r="AA8" t="e">
        <f t="shared" si="5"/>
        <v>#DIV/0!</v>
      </c>
      <c r="AF8" s="1" t="e">
        <f t="shared" si="6"/>
        <v>#DIV/0!</v>
      </c>
      <c r="AG8" t="e">
        <f t="shared" si="7"/>
        <v>#DIV/0!</v>
      </c>
    </row>
    <row r="9" spans="1:36">
      <c r="A9">
        <v>8</v>
      </c>
      <c r="B9" s="1" t="e">
        <f t="shared" si="0"/>
        <v>#DIV/0!</v>
      </c>
      <c r="C9" t="e">
        <f t="shared" si="1"/>
        <v>#DIV/0!</v>
      </c>
      <c r="H9" s="1" t="e">
        <f t="shared" si="2"/>
        <v>#DIV/0!</v>
      </c>
      <c r="I9" t="e">
        <f t="shared" si="8"/>
        <v>#DIV/0!</v>
      </c>
      <c r="N9" s="1" t="e">
        <f t="shared" si="3"/>
        <v>#DIV/0!</v>
      </c>
      <c r="T9" s="1" t="e">
        <f t="shared" si="4"/>
        <v>#DIV/0!</v>
      </c>
      <c r="Z9" s="1" t="e">
        <f t="shared" si="9"/>
        <v>#DIV/0!</v>
      </c>
      <c r="AA9" t="e">
        <f t="shared" si="5"/>
        <v>#DIV/0!</v>
      </c>
      <c r="AF9" s="1" t="e">
        <f t="shared" si="6"/>
        <v>#DIV/0!</v>
      </c>
      <c r="AG9" t="e">
        <f t="shared" si="7"/>
        <v>#DIV/0!</v>
      </c>
    </row>
    <row r="10" spans="1:36">
      <c r="A10">
        <v>9</v>
      </c>
      <c r="B10" s="1" t="e">
        <f t="shared" si="0"/>
        <v>#DIV/0!</v>
      </c>
      <c r="C10" t="e">
        <f t="shared" si="1"/>
        <v>#DIV/0!</v>
      </c>
      <c r="H10" s="1" t="e">
        <f>$A$23/#REF!</f>
        <v>#DIV/0!</v>
      </c>
      <c r="I10" t="e">
        <f>H10/A10</f>
        <v>#DIV/0!</v>
      </c>
      <c r="N10" s="1" t="e">
        <f t="shared" si="3"/>
        <v>#DIV/0!</v>
      </c>
      <c r="T10" s="1" t="e">
        <f t="shared" si="4"/>
        <v>#DIV/0!</v>
      </c>
      <c r="Z10" s="1" t="e">
        <f t="shared" si="9"/>
        <v>#DIV/0!</v>
      </c>
      <c r="AA10" t="e">
        <f t="shared" si="5"/>
        <v>#DIV/0!</v>
      </c>
      <c r="AF10" s="1" t="e">
        <f t="shared" si="6"/>
        <v>#DIV/0!</v>
      </c>
      <c r="AG10" t="e">
        <f t="shared" si="7"/>
        <v>#DIV/0!</v>
      </c>
    </row>
    <row r="11" spans="1:36">
      <c r="A11">
        <v>10</v>
      </c>
      <c r="B11" s="1" t="e">
        <f t="shared" si="0"/>
        <v>#DIV/0!</v>
      </c>
      <c r="C11" t="e">
        <f t="shared" si="1"/>
        <v>#DIV/0!</v>
      </c>
      <c r="H11" s="1" t="e">
        <f>$A$23/H31</f>
        <v>#DIV/0!</v>
      </c>
      <c r="I11" t="e">
        <f t="shared" si="8"/>
        <v>#DIV/0!</v>
      </c>
      <c r="N11" s="1" t="e">
        <f t="shared" si="3"/>
        <v>#DIV/0!</v>
      </c>
      <c r="T11" s="1" t="e">
        <f t="shared" si="4"/>
        <v>#DIV/0!</v>
      </c>
      <c r="Z11" s="1" t="e">
        <f t="shared" si="9"/>
        <v>#DIV/0!</v>
      </c>
      <c r="AA11" t="e">
        <f t="shared" si="5"/>
        <v>#DIV/0!</v>
      </c>
      <c r="AF11" s="1" t="e">
        <f t="shared" si="6"/>
        <v>#DIV/0!</v>
      </c>
      <c r="AG11" t="e">
        <f t="shared" si="7"/>
        <v>#DIV/0!</v>
      </c>
    </row>
    <row r="12" spans="1:36">
      <c r="A12">
        <v>11</v>
      </c>
      <c r="B12" s="1" t="e">
        <f t="shared" si="0"/>
        <v>#DIV/0!</v>
      </c>
      <c r="C12" t="e">
        <f t="shared" si="1"/>
        <v>#DIV/0!</v>
      </c>
      <c r="H12" s="1" t="e">
        <f t="shared" si="2"/>
        <v>#DIV/0!</v>
      </c>
      <c r="I12" t="e">
        <f t="shared" si="8"/>
        <v>#DIV/0!</v>
      </c>
      <c r="N12" s="1" t="e">
        <f t="shared" si="3"/>
        <v>#DIV/0!</v>
      </c>
      <c r="T12" s="1" t="e">
        <f t="shared" si="4"/>
        <v>#DIV/0!</v>
      </c>
      <c r="Z12" s="1" t="e">
        <f t="shared" si="9"/>
        <v>#DIV/0!</v>
      </c>
      <c r="AA12" t="e">
        <f t="shared" si="5"/>
        <v>#DIV/0!</v>
      </c>
      <c r="AF12" s="1" t="e">
        <f t="shared" si="6"/>
        <v>#DIV/0!</v>
      </c>
      <c r="AG12" t="e">
        <f t="shared" si="7"/>
        <v>#DIV/0!</v>
      </c>
    </row>
    <row r="13" spans="1:36">
      <c r="A13">
        <v>12</v>
      </c>
      <c r="B13" s="1" t="e">
        <f t="shared" si="0"/>
        <v>#DIV/0!</v>
      </c>
      <c r="C13" t="e">
        <f t="shared" si="1"/>
        <v>#DIV/0!</v>
      </c>
      <c r="H13" s="1" t="e">
        <f t="shared" si="2"/>
        <v>#DIV/0!</v>
      </c>
      <c r="I13" t="e">
        <f t="shared" si="8"/>
        <v>#DIV/0!</v>
      </c>
      <c r="N13" s="1" t="e">
        <f t="shared" si="3"/>
        <v>#DIV/0!</v>
      </c>
      <c r="T13" s="1" t="e">
        <f t="shared" si="4"/>
        <v>#DIV/0!</v>
      </c>
      <c r="Z13" s="1" t="e">
        <f t="shared" si="9"/>
        <v>#DIV/0!</v>
      </c>
      <c r="AA13" t="e">
        <f t="shared" si="5"/>
        <v>#DIV/0!</v>
      </c>
      <c r="AF13" s="1" t="e">
        <f t="shared" si="6"/>
        <v>#DIV/0!</v>
      </c>
      <c r="AG13" t="e">
        <f t="shared" si="7"/>
        <v>#DIV/0!</v>
      </c>
    </row>
    <row r="14" spans="1:36">
      <c r="A14">
        <v>13</v>
      </c>
      <c r="B14" s="1" t="e">
        <f t="shared" si="0"/>
        <v>#DIV/0!</v>
      </c>
      <c r="C14" t="e">
        <f t="shared" si="1"/>
        <v>#DIV/0!</v>
      </c>
      <c r="H14" s="1" t="e">
        <f t="shared" si="2"/>
        <v>#DIV/0!</v>
      </c>
      <c r="I14" t="e">
        <f t="shared" si="8"/>
        <v>#DIV/0!</v>
      </c>
      <c r="N14" s="1" t="e">
        <f t="shared" si="3"/>
        <v>#DIV/0!</v>
      </c>
      <c r="T14" s="1" t="e">
        <f t="shared" si="4"/>
        <v>#DIV/0!</v>
      </c>
      <c r="Z14" s="1" t="e">
        <f t="shared" si="9"/>
        <v>#DIV/0!</v>
      </c>
      <c r="AA14" t="e">
        <f t="shared" si="5"/>
        <v>#DIV/0!</v>
      </c>
      <c r="AF14" s="1" t="e">
        <f t="shared" si="6"/>
        <v>#DIV/0!</v>
      </c>
      <c r="AG14" t="e">
        <f t="shared" si="7"/>
        <v>#DIV/0!</v>
      </c>
    </row>
    <row r="15" spans="1:36">
      <c r="A15">
        <v>14</v>
      </c>
      <c r="B15" s="1" t="e">
        <f t="shared" si="0"/>
        <v>#DIV/0!</v>
      </c>
      <c r="C15" t="e">
        <f t="shared" si="1"/>
        <v>#DIV/0!</v>
      </c>
      <c r="H15" s="1" t="e">
        <f t="shared" si="2"/>
        <v>#DIV/0!</v>
      </c>
      <c r="I15" t="e">
        <f t="shared" si="8"/>
        <v>#DIV/0!</v>
      </c>
      <c r="N15" s="1" t="e">
        <f t="shared" si="3"/>
        <v>#DIV/0!</v>
      </c>
      <c r="T15" s="1" t="e">
        <f t="shared" si="4"/>
        <v>#DIV/0!</v>
      </c>
      <c r="Z15" s="1" t="e">
        <f t="shared" si="9"/>
        <v>#DIV/0!</v>
      </c>
      <c r="AA15" t="e">
        <f t="shared" si="5"/>
        <v>#DIV/0!</v>
      </c>
      <c r="AF15" s="1" t="e">
        <f t="shared" si="6"/>
        <v>#DIV/0!</v>
      </c>
      <c r="AG15" t="e">
        <f t="shared" si="7"/>
        <v>#DIV/0!</v>
      </c>
    </row>
    <row r="16" spans="1:36">
      <c r="A16">
        <v>15</v>
      </c>
      <c r="B16" s="1" t="e">
        <f t="shared" si="0"/>
        <v>#DIV/0!</v>
      </c>
      <c r="C16" t="e">
        <f t="shared" si="1"/>
        <v>#DIV/0!</v>
      </c>
      <c r="H16" s="1" t="e">
        <f t="shared" si="2"/>
        <v>#DIV/0!</v>
      </c>
      <c r="I16" t="e">
        <f t="shared" si="8"/>
        <v>#DIV/0!</v>
      </c>
      <c r="N16" s="1" t="e">
        <f t="shared" si="3"/>
        <v>#DIV/0!</v>
      </c>
      <c r="T16" s="1" t="e">
        <f t="shared" si="4"/>
        <v>#DIV/0!</v>
      </c>
      <c r="Z16" s="1" t="e">
        <f t="shared" si="9"/>
        <v>#DIV/0!</v>
      </c>
      <c r="AA16" t="e">
        <f t="shared" si="5"/>
        <v>#DIV/0!</v>
      </c>
      <c r="AF16" s="1" t="e">
        <f t="shared" si="6"/>
        <v>#DIV/0!</v>
      </c>
      <c r="AG16" t="e">
        <f t="shared" si="7"/>
        <v>#DIV/0!</v>
      </c>
    </row>
    <row r="17" spans="1:33">
      <c r="A17">
        <v>16</v>
      </c>
      <c r="B17" s="1" t="e">
        <f t="shared" si="0"/>
        <v>#DIV/0!</v>
      </c>
      <c r="C17" t="e">
        <f t="shared" si="1"/>
        <v>#DIV/0!</v>
      </c>
      <c r="H17" s="1" t="e">
        <f t="shared" si="2"/>
        <v>#DIV/0!</v>
      </c>
      <c r="I17" t="e">
        <f t="shared" si="8"/>
        <v>#DIV/0!</v>
      </c>
      <c r="N17" s="1" t="e">
        <f t="shared" si="3"/>
        <v>#DIV/0!</v>
      </c>
      <c r="T17" s="1" t="e">
        <f t="shared" si="4"/>
        <v>#DIV/0!</v>
      </c>
      <c r="Z17" s="1" t="e">
        <f t="shared" si="9"/>
        <v>#DIV/0!</v>
      </c>
      <c r="AA17" t="e">
        <f t="shared" si="5"/>
        <v>#DIV/0!</v>
      </c>
      <c r="AF17" s="1" t="e">
        <f t="shared" si="6"/>
        <v>#DIV/0!</v>
      </c>
      <c r="AG17" t="e">
        <f t="shared" si="7"/>
        <v>#DIV/0!</v>
      </c>
    </row>
    <row r="22" spans="1:33">
      <c r="A22" t="s">
        <v>1</v>
      </c>
      <c r="B22" t="s">
        <v>4</v>
      </c>
      <c r="C22" t="s">
        <v>1</v>
      </c>
      <c r="D22" t="s">
        <v>6</v>
      </c>
      <c r="E22" t="s">
        <v>7</v>
      </c>
      <c r="F22" t="s">
        <v>8</v>
      </c>
      <c r="H22" t="s">
        <v>5</v>
      </c>
      <c r="N22" t="s">
        <v>15</v>
      </c>
      <c r="T22" t="s">
        <v>16</v>
      </c>
      <c r="Z22" t="s">
        <v>18</v>
      </c>
      <c r="AF22" t="s">
        <v>18</v>
      </c>
    </row>
    <row r="23" spans="1:33">
      <c r="A23" t="e">
        <f>SUM(C23:C30)/COUNT(C23:C30)</f>
        <v>#DIV/0!</v>
      </c>
      <c r="E23" s="2"/>
      <c r="T23" s="2">
        <v>0.75641400000000003</v>
      </c>
    </row>
    <row r="24" spans="1:33">
      <c r="E24" s="2"/>
      <c r="T24" s="2">
        <v>0.43150500000000003</v>
      </c>
    </row>
    <row r="25" spans="1:33">
      <c r="E25" s="2"/>
      <c r="T25">
        <v>0.78343099999999999</v>
      </c>
    </row>
    <row r="26" spans="1:33">
      <c r="E26" s="2"/>
      <c r="T26">
        <v>0.51121000000000005</v>
      </c>
    </row>
    <row r="27" spans="1:33">
      <c r="E27" s="2"/>
    </row>
    <row r="28" spans="1:33">
      <c r="E28" s="2"/>
    </row>
    <row r="29" spans="1:33">
      <c r="E29" s="2"/>
    </row>
    <row r="30" spans="1:33">
      <c r="E30" s="2"/>
    </row>
    <row r="31" spans="1:33">
      <c r="E31" s="2"/>
    </row>
  </sheetData>
  <pageMargins left="0.7" right="0.7" top="0.75" bottom="0.75" header="0.3" footer="0.3"/>
  <pageSetup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72E15-211D-47FC-8A36-BBCA25A4A3B9}">
  <dimension ref="A1:AJ31"/>
  <sheetViews>
    <sheetView zoomScale="85" zoomScaleNormal="85" workbookViewId="0">
      <selection activeCell="A24" sqref="A24"/>
    </sheetView>
  </sheetViews>
  <sheetFormatPr defaultRowHeight="14.4"/>
  <cols>
    <col min="2" max="2" width="14.88671875" bestFit="1" customWidth="1"/>
    <col min="3" max="3" width="15.33203125" bestFit="1" customWidth="1"/>
    <col min="8" max="8" width="21" bestFit="1" customWidth="1"/>
    <col min="9" max="9" width="21.5546875" bestFit="1" customWidth="1"/>
    <col min="14" max="14" width="16.5546875" bestFit="1" customWidth="1"/>
    <col min="15" max="15" width="17" bestFit="1" customWidth="1"/>
    <col min="19" max="19" width="11.33203125" bestFit="1" customWidth="1"/>
    <col min="20" max="20" width="20.6640625" bestFit="1" customWidth="1"/>
    <col min="21" max="21" width="22.33203125" bestFit="1" customWidth="1"/>
    <col min="25" max="25" width="12.21875" bestFit="1" customWidth="1"/>
    <col min="26" max="26" width="21.33203125" bestFit="1" customWidth="1"/>
    <col min="27" max="27" width="22.33203125" bestFit="1" customWidth="1"/>
    <col min="31" max="31" width="12.21875" bestFit="1" customWidth="1"/>
  </cols>
  <sheetData>
    <row r="1" spans="1:36">
      <c r="A1" t="s">
        <v>0</v>
      </c>
      <c r="B1" t="s">
        <v>3</v>
      </c>
      <c r="C1" t="s">
        <v>2</v>
      </c>
      <c r="D1" t="s">
        <v>6</v>
      </c>
      <c r="E1" t="s">
        <v>7</v>
      </c>
      <c r="F1" t="s">
        <v>8</v>
      </c>
      <c r="H1" t="s">
        <v>10</v>
      </c>
      <c r="I1" t="s">
        <v>11</v>
      </c>
      <c r="J1" t="s">
        <v>6</v>
      </c>
      <c r="K1" t="s">
        <v>7</v>
      </c>
      <c r="L1" t="s">
        <v>8</v>
      </c>
      <c r="N1" t="s">
        <v>9</v>
      </c>
      <c r="O1" t="s">
        <v>12</v>
      </c>
      <c r="P1" t="s">
        <v>6</v>
      </c>
      <c r="Q1" t="s">
        <v>7</v>
      </c>
      <c r="R1" t="s">
        <v>8</v>
      </c>
      <c r="S1" t="s">
        <v>17</v>
      </c>
      <c r="T1" t="s">
        <v>13</v>
      </c>
      <c r="U1" t="s">
        <v>14</v>
      </c>
      <c r="V1" t="s">
        <v>6</v>
      </c>
      <c r="W1" t="s">
        <v>7</v>
      </c>
      <c r="X1" t="s">
        <v>8</v>
      </c>
      <c r="Y1" t="s">
        <v>19</v>
      </c>
      <c r="Z1" t="s">
        <v>13</v>
      </c>
      <c r="AA1" t="s">
        <v>14</v>
      </c>
      <c r="AB1" t="s">
        <v>6</v>
      </c>
      <c r="AC1" t="s">
        <v>7</v>
      </c>
      <c r="AD1" t="s">
        <v>8</v>
      </c>
      <c r="AE1" t="s">
        <v>20</v>
      </c>
      <c r="AF1" t="s">
        <v>13</v>
      </c>
      <c r="AG1" t="s">
        <v>14</v>
      </c>
      <c r="AH1" t="s">
        <v>6</v>
      </c>
      <c r="AI1" t="s">
        <v>7</v>
      </c>
      <c r="AJ1" t="s">
        <v>8</v>
      </c>
    </row>
    <row r="2" spans="1:36">
      <c r="A2">
        <v>1</v>
      </c>
      <c r="B2" s="1" t="e">
        <f t="shared" ref="B2:B17" si="0">$A$23/B23</f>
        <v>#DIV/0!</v>
      </c>
      <c r="C2" t="e">
        <f t="shared" ref="C2:C17" si="1">B2/A2</f>
        <v>#DIV/0!</v>
      </c>
      <c r="H2" s="1" t="e">
        <f t="shared" ref="H2:H17" si="2">$A$23/H23</f>
        <v>#DIV/0!</v>
      </c>
      <c r="I2" t="e">
        <f>H2/A2</f>
        <v>#DIV/0!</v>
      </c>
      <c r="M2" s="2">
        <v>64</v>
      </c>
      <c r="N2" s="1" t="e">
        <f t="shared" ref="N2:N17" si="3">$A$23/N23</f>
        <v>#DIV/0!</v>
      </c>
      <c r="S2" s="2">
        <v>1</v>
      </c>
      <c r="T2" s="1" t="e">
        <f t="shared" ref="T2:T17" si="4">$A$23/T23</f>
        <v>#DIV/0!</v>
      </c>
      <c r="Z2" s="1" t="e">
        <f>$A$23/Z23</f>
        <v>#DIV/0!</v>
      </c>
      <c r="AA2" t="e">
        <f t="shared" ref="AA2:AA17" si="5">Z2/Y2</f>
        <v>#DIV/0!</v>
      </c>
      <c r="AF2" s="1" t="e">
        <f t="shared" ref="AF2:AF17" si="6">$A$23/AF23</f>
        <v>#DIV/0!</v>
      </c>
      <c r="AG2" t="e">
        <f t="shared" ref="AG2:AG17" si="7">AF2/AE2</f>
        <v>#DIV/0!</v>
      </c>
    </row>
    <row r="3" spans="1:36">
      <c r="A3">
        <v>2</v>
      </c>
      <c r="B3" s="1" t="e">
        <f t="shared" si="0"/>
        <v>#DIV/0!</v>
      </c>
      <c r="C3" t="e">
        <f t="shared" si="1"/>
        <v>#DIV/0!</v>
      </c>
      <c r="H3" s="1" t="e">
        <f t="shared" si="2"/>
        <v>#DIV/0!</v>
      </c>
      <c r="I3" t="e">
        <f t="shared" ref="I3:I17" si="8">H3/A3</f>
        <v>#DIV/0!</v>
      </c>
      <c r="M3" s="2">
        <v>256</v>
      </c>
      <c r="N3" s="1" t="e">
        <f t="shared" si="3"/>
        <v>#DIV/0!</v>
      </c>
      <c r="S3" s="2">
        <v>2</v>
      </c>
      <c r="T3" s="1" t="e">
        <f t="shared" si="4"/>
        <v>#DIV/0!</v>
      </c>
      <c r="Z3" s="1" t="e">
        <f>$A$23/Z24</f>
        <v>#DIV/0!</v>
      </c>
      <c r="AA3" t="e">
        <f t="shared" si="5"/>
        <v>#DIV/0!</v>
      </c>
      <c r="AF3" s="1" t="e">
        <f t="shared" si="6"/>
        <v>#DIV/0!</v>
      </c>
      <c r="AG3" t="e">
        <f t="shared" si="7"/>
        <v>#DIV/0!</v>
      </c>
    </row>
    <row r="4" spans="1:36">
      <c r="A4">
        <v>3</v>
      </c>
      <c r="B4" s="1" t="e">
        <f t="shared" si="0"/>
        <v>#DIV/0!</v>
      </c>
      <c r="C4" t="e">
        <f t="shared" si="1"/>
        <v>#DIV/0!</v>
      </c>
      <c r="H4" s="1" t="e">
        <f t="shared" si="2"/>
        <v>#DIV/0!</v>
      </c>
      <c r="I4" t="e">
        <f t="shared" si="8"/>
        <v>#DIV/0!</v>
      </c>
      <c r="M4" s="2">
        <v>1024</v>
      </c>
      <c r="N4" s="1" t="e">
        <f t="shared" si="3"/>
        <v>#DIV/0!</v>
      </c>
      <c r="S4" s="2">
        <v>3</v>
      </c>
      <c r="T4" s="1" t="e">
        <f t="shared" si="4"/>
        <v>#DIV/0!</v>
      </c>
      <c r="Z4" s="1" t="e">
        <f t="shared" ref="Z4:Z17" si="9">$A$23/Z25</f>
        <v>#DIV/0!</v>
      </c>
      <c r="AA4" t="e">
        <f t="shared" si="5"/>
        <v>#DIV/0!</v>
      </c>
      <c r="AF4" s="1" t="e">
        <f t="shared" si="6"/>
        <v>#DIV/0!</v>
      </c>
      <c r="AG4" t="e">
        <f t="shared" si="7"/>
        <v>#DIV/0!</v>
      </c>
    </row>
    <row r="5" spans="1:36">
      <c r="A5">
        <v>4</v>
      </c>
      <c r="B5" s="1" t="e">
        <f t="shared" si="0"/>
        <v>#DIV/0!</v>
      </c>
      <c r="C5" t="e">
        <f t="shared" si="1"/>
        <v>#DIV/0!</v>
      </c>
      <c r="H5" s="1" t="e">
        <f t="shared" si="2"/>
        <v>#DIV/0!</v>
      </c>
      <c r="I5" t="e">
        <f t="shared" si="8"/>
        <v>#DIV/0!</v>
      </c>
      <c r="N5" s="1" t="e">
        <f t="shared" si="3"/>
        <v>#DIV/0!</v>
      </c>
      <c r="S5" s="2">
        <v>4</v>
      </c>
      <c r="T5" s="1" t="e">
        <f t="shared" si="4"/>
        <v>#DIV/0!</v>
      </c>
      <c r="Z5" s="1" t="e">
        <f t="shared" si="9"/>
        <v>#DIV/0!</v>
      </c>
      <c r="AA5" t="e">
        <f t="shared" si="5"/>
        <v>#DIV/0!</v>
      </c>
      <c r="AF5" s="1" t="e">
        <f t="shared" si="6"/>
        <v>#DIV/0!</v>
      </c>
      <c r="AG5" t="e">
        <f t="shared" si="7"/>
        <v>#DIV/0!</v>
      </c>
    </row>
    <row r="6" spans="1:36">
      <c r="A6">
        <v>5</v>
      </c>
      <c r="B6" s="1" t="e">
        <f t="shared" si="0"/>
        <v>#DIV/0!</v>
      </c>
      <c r="C6" t="e">
        <f t="shared" si="1"/>
        <v>#DIV/0!</v>
      </c>
      <c r="H6" s="1" t="e">
        <f t="shared" si="2"/>
        <v>#DIV/0!</v>
      </c>
      <c r="I6" t="e">
        <f t="shared" si="8"/>
        <v>#DIV/0!</v>
      </c>
      <c r="N6" s="1" t="e">
        <f t="shared" si="3"/>
        <v>#DIV/0!</v>
      </c>
      <c r="T6" s="1" t="e">
        <f t="shared" si="4"/>
        <v>#DIV/0!</v>
      </c>
      <c r="Z6" s="1" t="e">
        <f t="shared" si="9"/>
        <v>#DIV/0!</v>
      </c>
      <c r="AA6" t="e">
        <f t="shared" si="5"/>
        <v>#DIV/0!</v>
      </c>
      <c r="AF6" s="1" t="e">
        <f t="shared" si="6"/>
        <v>#DIV/0!</v>
      </c>
      <c r="AG6" t="e">
        <f t="shared" si="7"/>
        <v>#DIV/0!</v>
      </c>
    </row>
    <row r="7" spans="1:36">
      <c r="A7">
        <v>6</v>
      </c>
      <c r="B7" s="1" t="e">
        <f t="shared" si="0"/>
        <v>#DIV/0!</v>
      </c>
      <c r="C7" t="e">
        <f t="shared" si="1"/>
        <v>#DIV/0!</v>
      </c>
      <c r="H7" s="1" t="e">
        <f t="shared" si="2"/>
        <v>#DIV/0!</v>
      </c>
      <c r="I7" t="e">
        <f t="shared" si="8"/>
        <v>#DIV/0!</v>
      </c>
      <c r="N7" s="1" t="e">
        <f t="shared" si="3"/>
        <v>#DIV/0!</v>
      </c>
      <c r="T7" s="1" t="e">
        <f t="shared" si="4"/>
        <v>#DIV/0!</v>
      </c>
      <c r="Z7" s="1" t="e">
        <f t="shared" si="9"/>
        <v>#DIV/0!</v>
      </c>
      <c r="AA7" t="e">
        <f t="shared" si="5"/>
        <v>#DIV/0!</v>
      </c>
      <c r="AF7" s="1" t="e">
        <f t="shared" si="6"/>
        <v>#DIV/0!</v>
      </c>
      <c r="AG7" t="e">
        <f t="shared" si="7"/>
        <v>#DIV/0!</v>
      </c>
    </row>
    <row r="8" spans="1:36">
      <c r="A8">
        <v>7</v>
      </c>
      <c r="B8" s="1" t="e">
        <f t="shared" si="0"/>
        <v>#DIV/0!</v>
      </c>
      <c r="C8" t="e">
        <f t="shared" si="1"/>
        <v>#DIV/0!</v>
      </c>
      <c r="H8" s="1" t="e">
        <f t="shared" si="2"/>
        <v>#DIV/0!</v>
      </c>
      <c r="I8" t="e">
        <f t="shared" si="8"/>
        <v>#DIV/0!</v>
      </c>
      <c r="N8" s="1" t="e">
        <f t="shared" si="3"/>
        <v>#DIV/0!</v>
      </c>
      <c r="T8" s="1" t="e">
        <f t="shared" si="4"/>
        <v>#DIV/0!</v>
      </c>
      <c r="Z8" s="1" t="e">
        <f t="shared" si="9"/>
        <v>#DIV/0!</v>
      </c>
      <c r="AA8" t="e">
        <f t="shared" si="5"/>
        <v>#DIV/0!</v>
      </c>
      <c r="AF8" s="1" t="e">
        <f t="shared" si="6"/>
        <v>#DIV/0!</v>
      </c>
      <c r="AG8" t="e">
        <f t="shared" si="7"/>
        <v>#DIV/0!</v>
      </c>
    </row>
    <row r="9" spans="1:36">
      <c r="A9">
        <v>8</v>
      </c>
      <c r="B9" s="1" t="e">
        <f t="shared" si="0"/>
        <v>#DIV/0!</v>
      </c>
      <c r="C9" t="e">
        <f t="shared" si="1"/>
        <v>#DIV/0!</v>
      </c>
      <c r="H9" s="1" t="e">
        <f t="shared" si="2"/>
        <v>#DIV/0!</v>
      </c>
      <c r="I9" t="e">
        <f t="shared" si="8"/>
        <v>#DIV/0!</v>
      </c>
      <c r="N9" s="1" t="e">
        <f t="shared" si="3"/>
        <v>#DIV/0!</v>
      </c>
      <c r="T9" s="1" t="e">
        <f t="shared" si="4"/>
        <v>#DIV/0!</v>
      </c>
      <c r="Z9" s="1" t="e">
        <f t="shared" si="9"/>
        <v>#DIV/0!</v>
      </c>
      <c r="AA9" t="e">
        <f t="shared" si="5"/>
        <v>#DIV/0!</v>
      </c>
      <c r="AF9" s="1" t="e">
        <f t="shared" si="6"/>
        <v>#DIV/0!</v>
      </c>
      <c r="AG9" t="e">
        <f t="shared" si="7"/>
        <v>#DIV/0!</v>
      </c>
    </row>
    <row r="10" spans="1:36">
      <c r="A10">
        <v>9</v>
      </c>
      <c r="B10" s="1" t="e">
        <f t="shared" si="0"/>
        <v>#DIV/0!</v>
      </c>
      <c r="C10" t="e">
        <f t="shared" si="1"/>
        <v>#DIV/0!</v>
      </c>
      <c r="H10" s="1" t="e">
        <f>$A$23/#REF!</f>
        <v>#DIV/0!</v>
      </c>
      <c r="I10" t="e">
        <f>H10/A10</f>
        <v>#DIV/0!</v>
      </c>
      <c r="N10" s="1" t="e">
        <f t="shared" si="3"/>
        <v>#DIV/0!</v>
      </c>
      <c r="T10" s="1" t="e">
        <f t="shared" si="4"/>
        <v>#DIV/0!</v>
      </c>
      <c r="Z10" s="1" t="e">
        <f t="shared" si="9"/>
        <v>#DIV/0!</v>
      </c>
      <c r="AA10" t="e">
        <f t="shared" si="5"/>
        <v>#DIV/0!</v>
      </c>
      <c r="AF10" s="1" t="e">
        <f t="shared" si="6"/>
        <v>#DIV/0!</v>
      </c>
      <c r="AG10" t="e">
        <f t="shared" si="7"/>
        <v>#DIV/0!</v>
      </c>
    </row>
    <row r="11" spans="1:36">
      <c r="A11">
        <v>10</v>
      </c>
      <c r="B11" s="1" t="e">
        <f t="shared" si="0"/>
        <v>#DIV/0!</v>
      </c>
      <c r="C11" t="e">
        <f t="shared" si="1"/>
        <v>#DIV/0!</v>
      </c>
      <c r="H11" s="1" t="e">
        <f>$A$23/H31</f>
        <v>#DIV/0!</v>
      </c>
      <c r="I11" t="e">
        <f t="shared" si="8"/>
        <v>#DIV/0!</v>
      </c>
      <c r="N11" s="1" t="e">
        <f t="shared" si="3"/>
        <v>#DIV/0!</v>
      </c>
      <c r="T11" s="1" t="e">
        <f t="shared" si="4"/>
        <v>#DIV/0!</v>
      </c>
      <c r="Z11" s="1" t="e">
        <f t="shared" si="9"/>
        <v>#DIV/0!</v>
      </c>
      <c r="AA11" t="e">
        <f t="shared" si="5"/>
        <v>#DIV/0!</v>
      </c>
      <c r="AF11" s="1" t="e">
        <f t="shared" si="6"/>
        <v>#DIV/0!</v>
      </c>
      <c r="AG11" t="e">
        <f t="shared" si="7"/>
        <v>#DIV/0!</v>
      </c>
    </row>
    <row r="12" spans="1:36">
      <c r="A12">
        <v>11</v>
      </c>
      <c r="B12" s="1" t="e">
        <f t="shared" si="0"/>
        <v>#DIV/0!</v>
      </c>
      <c r="C12" t="e">
        <f t="shared" si="1"/>
        <v>#DIV/0!</v>
      </c>
      <c r="H12" s="1" t="e">
        <f t="shared" si="2"/>
        <v>#DIV/0!</v>
      </c>
      <c r="I12" t="e">
        <f t="shared" si="8"/>
        <v>#DIV/0!</v>
      </c>
      <c r="N12" s="1" t="e">
        <f t="shared" si="3"/>
        <v>#DIV/0!</v>
      </c>
      <c r="T12" s="1" t="e">
        <f t="shared" si="4"/>
        <v>#DIV/0!</v>
      </c>
      <c r="Z12" s="1" t="e">
        <f t="shared" si="9"/>
        <v>#DIV/0!</v>
      </c>
      <c r="AA12" t="e">
        <f t="shared" si="5"/>
        <v>#DIV/0!</v>
      </c>
      <c r="AF12" s="1" t="e">
        <f t="shared" si="6"/>
        <v>#DIV/0!</v>
      </c>
      <c r="AG12" t="e">
        <f t="shared" si="7"/>
        <v>#DIV/0!</v>
      </c>
    </row>
    <row r="13" spans="1:36">
      <c r="A13">
        <v>12</v>
      </c>
      <c r="B13" s="1" t="e">
        <f t="shared" si="0"/>
        <v>#DIV/0!</v>
      </c>
      <c r="C13" t="e">
        <f t="shared" si="1"/>
        <v>#DIV/0!</v>
      </c>
      <c r="H13" s="1" t="e">
        <f t="shared" si="2"/>
        <v>#DIV/0!</v>
      </c>
      <c r="I13" t="e">
        <f t="shared" si="8"/>
        <v>#DIV/0!</v>
      </c>
      <c r="N13" s="1" t="e">
        <f t="shared" si="3"/>
        <v>#DIV/0!</v>
      </c>
      <c r="T13" s="1" t="e">
        <f t="shared" si="4"/>
        <v>#DIV/0!</v>
      </c>
      <c r="Z13" s="1" t="e">
        <f t="shared" si="9"/>
        <v>#DIV/0!</v>
      </c>
      <c r="AA13" t="e">
        <f t="shared" si="5"/>
        <v>#DIV/0!</v>
      </c>
      <c r="AF13" s="1" t="e">
        <f t="shared" si="6"/>
        <v>#DIV/0!</v>
      </c>
      <c r="AG13" t="e">
        <f t="shared" si="7"/>
        <v>#DIV/0!</v>
      </c>
    </row>
    <row r="14" spans="1:36">
      <c r="A14">
        <v>13</v>
      </c>
      <c r="B14" s="1" t="e">
        <f t="shared" si="0"/>
        <v>#DIV/0!</v>
      </c>
      <c r="C14" t="e">
        <f t="shared" si="1"/>
        <v>#DIV/0!</v>
      </c>
      <c r="H14" s="1" t="e">
        <f t="shared" si="2"/>
        <v>#DIV/0!</v>
      </c>
      <c r="I14" t="e">
        <f t="shared" si="8"/>
        <v>#DIV/0!</v>
      </c>
      <c r="N14" s="1" t="e">
        <f t="shared" si="3"/>
        <v>#DIV/0!</v>
      </c>
      <c r="T14" s="1" t="e">
        <f t="shared" si="4"/>
        <v>#DIV/0!</v>
      </c>
      <c r="Z14" s="1" t="e">
        <f t="shared" si="9"/>
        <v>#DIV/0!</v>
      </c>
      <c r="AA14" t="e">
        <f t="shared" si="5"/>
        <v>#DIV/0!</v>
      </c>
      <c r="AF14" s="1" t="e">
        <f t="shared" si="6"/>
        <v>#DIV/0!</v>
      </c>
      <c r="AG14" t="e">
        <f t="shared" si="7"/>
        <v>#DIV/0!</v>
      </c>
    </row>
    <row r="15" spans="1:36">
      <c r="A15">
        <v>14</v>
      </c>
      <c r="B15" s="1" t="e">
        <f t="shared" si="0"/>
        <v>#DIV/0!</v>
      </c>
      <c r="C15" t="e">
        <f t="shared" si="1"/>
        <v>#DIV/0!</v>
      </c>
      <c r="H15" s="1" t="e">
        <f t="shared" si="2"/>
        <v>#DIV/0!</v>
      </c>
      <c r="I15" t="e">
        <f t="shared" si="8"/>
        <v>#DIV/0!</v>
      </c>
      <c r="N15" s="1" t="e">
        <f t="shared" si="3"/>
        <v>#DIV/0!</v>
      </c>
      <c r="T15" s="1" t="e">
        <f t="shared" si="4"/>
        <v>#DIV/0!</v>
      </c>
      <c r="Z15" s="1" t="e">
        <f t="shared" si="9"/>
        <v>#DIV/0!</v>
      </c>
      <c r="AA15" t="e">
        <f t="shared" si="5"/>
        <v>#DIV/0!</v>
      </c>
      <c r="AF15" s="1" t="e">
        <f t="shared" si="6"/>
        <v>#DIV/0!</v>
      </c>
      <c r="AG15" t="e">
        <f t="shared" si="7"/>
        <v>#DIV/0!</v>
      </c>
    </row>
    <row r="16" spans="1:36">
      <c r="A16">
        <v>15</v>
      </c>
      <c r="B16" s="1" t="e">
        <f t="shared" si="0"/>
        <v>#DIV/0!</v>
      </c>
      <c r="C16" t="e">
        <f t="shared" si="1"/>
        <v>#DIV/0!</v>
      </c>
      <c r="H16" s="1" t="e">
        <f t="shared" si="2"/>
        <v>#DIV/0!</v>
      </c>
      <c r="I16" t="e">
        <f t="shared" si="8"/>
        <v>#DIV/0!</v>
      </c>
      <c r="N16" s="1" t="e">
        <f t="shared" si="3"/>
        <v>#DIV/0!</v>
      </c>
      <c r="T16" s="1" t="e">
        <f t="shared" si="4"/>
        <v>#DIV/0!</v>
      </c>
      <c r="Z16" s="1" t="e">
        <f t="shared" si="9"/>
        <v>#DIV/0!</v>
      </c>
      <c r="AA16" t="e">
        <f t="shared" si="5"/>
        <v>#DIV/0!</v>
      </c>
      <c r="AF16" s="1" t="e">
        <f t="shared" si="6"/>
        <v>#DIV/0!</v>
      </c>
      <c r="AG16" t="e">
        <f t="shared" si="7"/>
        <v>#DIV/0!</v>
      </c>
    </row>
    <row r="17" spans="1:33">
      <c r="A17">
        <v>16</v>
      </c>
      <c r="B17" s="1" t="e">
        <f t="shared" si="0"/>
        <v>#DIV/0!</v>
      </c>
      <c r="C17" t="e">
        <f t="shared" si="1"/>
        <v>#DIV/0!</v>
      </c>
      <c r="H17" s="1" t="e">
        <f t="shared" si="2"/>
        <v>#DIV/0!</v>
      </c>
      <c r="I17" t="e">
        <f t="shared" si="8"/>
        <v>#DIV/0!</v>
      </c>
      <c r="N17" s="1" t="e">
        <f t="shared" si="3"/>
        <v>#DIV/0!</v>
      </c>
      <c r="T17" s="1" t="e">
        <f t="shared" si="4"/>
        <v>#DIV/0!</v>
      </c>
      <c r="Z17" s="1" t="e">
        <f t="shared" si="9"/>
        <v>#DIV/0!</v>
      </c>
      <c r="AA17" t="e">
        <f t="shared" si="5"/>
        <v>#DIV/0!</v>
      </c>
      <c r="AF17" s="1" t="e">
        <f t="shared" si="6"/>
        <v>#DIV/0!</v>
      </c>
      <c r="AG17" t="e">
        <f t="shared" si="7"/>
        <v>#DIV/0!</v>
      </c>
    </row>
    <row r="22" spans="1:33">
      <c r="A22" t="s">
        <v>1</v>
      </c>
      <c r="B22" t="s">
        <v>4</v>
      </c>
      <c r="C22" t="s">
        <v>1</v>
      </c>
      <c r="D22" t="s">
        <v>6</v>
      </c>
      <c r="E22" t="s">
        <v>7</v>
      </c>
      <c r="F22" t="s">
        <v>8</v>
      </c>
      <c r="H22" t="s">
        <v>5</v>
      </c>
      <c r="N22" t="s">
        <v>15</v>
      </c>
      <c r="T22" t="s">
        <v>16</v>
      </c>
      <c r="Z22" t="s">
        <v>18</v>
      </c>
      <c r="AF22" t="s">
        <v>18</v>
      </c>
    </row>
    <row r="23" spans="1:33">
      <c r="A23" t="e">
        <f>SUM(C23:C30)/COUNT(C23:C30)</f>
        <v>#DIV/0!</v>
      </c>
      <c r="E23" s="2"/>
      <c r="T23" s="2">
        <v>0.75641400000000003</v>
      </c>
    </row>
    <row r="24" spans="1:33">
      <c r="E24" s="2"/>
      <c r="T24" s="2">
        <v>0.43150500000000003</v>
      </c>
    </row>
    <row r="25" spans="1:33">
      <c r="E25" s="2"/>
      <c r="T25">
        <v>0.78343099999999999</v>
      </c>
    </row>
    <row r="26" spans="1:33">
      <c r="E26" s="2"/>
      <c r="T26">
        <v>0.51121000000000005</v>
      </c>
    </row>
    <row r="27" spans="1:33">
      <c r="E27" s="2"/>
    </row>
    <row r="28" spans="1:33">
      <c r="E28" s="2"/>
    </row>
    <row r="29" spans="1:33">
      <c r="E29" s="2"/>
    </row>
    <row r="30" spans="1:33">
      <c r="E30" s="2"/>
    </row>
    <row r="31" spans="1:33">
      <c r="E31" s="2"/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K2 E25</vt:lpstr>
      <vt:lpstr>K2 E50</vt:lpstr>
      <vt:lpstr>K2 E100</vt:lpstr>
      <vt:lpstr>K4 E25</vt:lpstr>
      <vt:lpstr>Temp</vt:lpstr>
      <vt:lpstr>Temp 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Tan</dc:creator>
  <cp:lastModifiedBy>Brady Tan</cp:lastModifiedBy>
  <dcterms:created xsi:type="dcterms:W3CDTF">2026-04-10T03:52:40Z</dcterms:created>
  <dcterms:modified xsi:type="dcterms:W3CDTF">2026-04-15T01:03:36Z</dcterms:modified>
</cp:coreProperties>
</file>